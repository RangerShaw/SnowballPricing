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2293510C-38DE-4F1A-A960-11AE462D21F9}" xr6:coauthVersionLast="47" xr6:coauthVersionMax="47" xr10:uidLastSave="{00000000-0000-0000-0000-000000000000}"/>
  <bookViews>
    <workbookView xWindow="-108" yWindow="-108" windowWidth="23256" windowHeight="12576" tabRatio="500" firstSheet="2" activeTab="2" xr2:uid="{00000000-000D-0000-FFFF-FFFF00000000}"/>
  </bookViews>
  <sheets>
    <sheet name="中证500" sheetId="4" r:id="rId1"/>
    <sheet name="中证1000" sheetId="6" r:id="rId2"/>
    <sheet name="Single" sheetId="1" r:id="rId3"/>
    <sheet name="观察日" sheetId="7" r:id="rId4"/>
    <sheet name="trading_days" sheetId="3" r:id="rId5"/>
    <sheet name="_xlwings.conf" sheetId="2" r:id="rId6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3" i="1" l="1"/>
  <c r="I36" i="1" l="1"/>
  <c r="J36" i="1" s="1"/>
  <c r="J25" i="1"/>
  <c r="J26" i="1"/>
  <c r="J27" i="1"/>
  <c r="J28" i="1"/>
  <c r="J29" i="1"/>
  <c r="J30" i="1"/>
  <c r="J31" i="1"/>
  <c r="J32" i="1"/>
  <c r="J33" i="1"/>
  <c r="J34" i="1"/>
  <c r="J35" i="1"/>
  <c r="J24" i="1"/>
  <c r="J37" i="1" l="1"/>
  <c r="I37" i="1"/>
  <c r="F7" i="1"/>
  <c r="H13" i="1"/>
  <c r="H15" i="1" s="1"/>
  <c r="I15" i="1" s="1"/>
  <c r="J38" i="1" l="1"/>
</calcChain>
</file>

<file path=xl/sharedStrings.xml><?xml version="1.0" encoding="utf-8"?>
<sst xmlns="http://schemas.openxmlformats.org/spreadsheetml/2006/main" count="108" uniqueCount="62">
  <si>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</si>
  <si>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</si>
  <si>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</si>
  <si>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</si>
  <si>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</si>
  <si>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</si>
  <si>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</si>
  <si>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</si>
  <si>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</si>
  <si>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</si>
  <si>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</si>
  <si>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</si>
  <si>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</si>
  <si>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</si>
  <si>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</si>
  <si>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</si>
  <si>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</si>
  <si>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</si>
  <si>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</si>
  <si>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</si>
  <si>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</si>
  <si>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</si>
  <si>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</si>
  <si>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</si>
  <si>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</si>
  <si>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</si>
  <si>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</si>
  <si>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</si>
  <si>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M2M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</si>
  <si>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</si>
  <si>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</si>
  <si>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</si>
  <si>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</si>
  <si>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</si>
  <si>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</si>
  <si>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</si>
  <si>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</si>
  <si>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</si>
  <si>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</si>
  <si>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</si>
  <si>
    <t>冷静期（月）</t>
    <phoneticPr fontId="3" type="noConversion"/>
  </si>
  <si>
    <t>SUM</t>
    <phoneticPr fontId="3" type="noConversion"/>
  </si>
  <si>
    <t>敲出月数</t>
    <phoneticPr fontId="3" type="noConversion"/>
  </si>
  <si>
    <t>路径数</t>
    <phoneticPr fontId="3" type="noConversion"/>
  </si>
  <si>
    <t>相乘</t>
    <phoneticPr fontId="3" type="noConversion"/>
  </si>
  <si>
    <t>平均存续月数</t>
    <phoneticPr fontId="3" type="noConversion"/>
  </si>
  <si>
    <t>12(未敲出)</t>
    <phoneticPr fontId="3" type="noConversion"/>
  </si>
  <si>
    <t>spot</t>
    <phoneticPr fontId="3" type="noConversion"/>
  </si>
  <si>
    <t>XAU</t>
    <phoneticPr fontId="3" type="noConversion"/>
  </si>
  <si>
    <t>AU9999</t>
    <phoneticPr fontId="3" type="noConversion"/>
  </si>
  <si>
    <t>r</t>
    <phoneticPr fontId="3" type="noConversion"/>
  </si>
  <si>
    <t>v</t>
    <phoneticPr fontId="3" type="noConversion"/>
  </si>
  <si>
    <t>d_r</t>
    <phoneticPr fontId="3" type="noConversion"/>
  </si>
  <si>
    <t>伦敦金</t>
    <phoneticPr fontId="3" type="noConversion"/>
  </si>
  <si>
    <t>向上</t>
    <phoneticPr fontId="3" type="noConversion"/>
  </si>
  <si>
    <t>向下</t>
    <phoneticPr fontId="3" type="noConversion"/>
  </si>
  <si>
    <t>上海金</t>
    <phoneticPr fontId="3" type="noConversion"/>
  </si>
  <si>
    <t>期限(月)</t>
    <phoneticPr fontId="3" type="noConversion"/>
  </si>
  <si>
    <t>观察日</t>
    <phoneticPr fontId="3" type="noConversion"/>
  </si>
  <si>
    <t>参数</t>
    <phoneticPr fontId="3" type="noConversion"/>
  </si>
  <si>
    <t>冷静期(月)</t>
    <phoneticPr fontId="3" type="noConversion"/>
  </si>
  <si>
    <t>2024年及之后的观察日仅供参考，需及时维护trading_days工作表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</si>
</sst>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 * #,##0_ ;_ * \-#,##0_ ;_ * &quot;-&quot;??_ ;_ @_ "/>
    <numFmt numFmtId="177" formatCode="0.00000"/>
    <numFmt numFmtId="178" formatCode="0.0%"/>
    <numFmt numFmtId="179" formatCode="0.000%"/>
  </numFmts>
  <fonts count="12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2" fontId="0" fillId="0" borderId="0" xfId="0" applyNumberForma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177" fontId="0" fillId="0" borderId="0" xfId="0" applyNumberFormat="1"/>
    <xf numFmtId="10" fontId="0" fillId="0" borderId="0" xfId="0" applyNumberFormat="1"/>
    <xf numFmtId="178" fontId="0" fillId="0" borderId="0" xfId="0" applyNumberFormat="1"/>
    <xf numFmtId="179" fontId="0" fillId="0" borderId="0" xfId="2" applyNumberFormat="1" applyFont="1" applyAlignment="1"/>
    <xf numFmtId="9" fontId="0" fillId="0" borderId="0" xfId="0" applyNumberFormat="1"/>
    <xf numFmtId="0" fontId="0" fillId="0" borderId="1" xfId="0" applyBorder="1"/>
    <xf numFmtId="9" fontId="0" fillId="0" borderId="1" xfId="0" applyNumberFormat="1" applyBorder="1"/>
    <xf numFmtId="10" fontId="0" fillId="0" borderId="1" xfId="0" applyNumberFormat="1" applyBorder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0" fillId="6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15240</xdr:rowOff>
        </xdr:from>
        <xdr:to>
          <xdr:col>11</xdr:col>
          <xdr:colOff>137160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12</xdr:row>
          <xdr:rowOff>22860</xdr:rowOff>
        </xdr:from>
        <xdr:to>
          <xdr:col>11</xdr:col>
          <xdr:colOff>53340</xdr:colOff>
          <xdr:row>13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6</xdr:row>
          <xdr:rowOff>60960</xdr:rowOff>
        </xdr:from>
        <xdr:to>
          <xdr:col>2</xdr:col>
          <xdr:colOff>601980</xdr:colOff>
          <xdr:row>8</xdr:row>
          <xdr:rowOff>60960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生成观察日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zoomScale="85" zoomScaleNormal="85" workbookViewId="0">
      <selection activeCell="A21" sqref="A21:XFD48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8" bestFit="1" customWidth="1"/>
    <col min="10" max="10" width="23.3984375" customWidth="1"/>
    <col min="11" max="11" width="14.3984375" customWidth="1"/>
  </cols>
  <sheetData>
    <row r="2" spans="1:11" x14ac:dyDescent="0.25">
      <c r="B2" s="25" t="s">
        <v>15</v>
      </c>
      <c r="C2" s="25"/>
      <c r="D2" s="3"/>
    </row>
    <row r="3" spans="1:11" x14ac:dyDescent="0.25">
      <c r="B3" s="14" t="s">
        <v>17</v>
      </c>
      <c r="C3" s="4">
        <v>44993</v>
      </c>
      <c r="F3" s="5"/>
    </row>
    <row r="4" spans="1:11" x14ac:dyDescent="0.25">
      <c r="B4" s="14" t="s">
        <v>18</v>
      </c>
      <c r="C4">
        <v>1813</v>
      </c>
      <c r="F4" s="5"/>
    </row>
    <row r="5" spans="1:11" x14ac:dyDescent="0.25">
      <c r="B5" s="14" t="s">
        <v>19</v>
      </c>
      <c r="C5">
        <v>0.13</v>
      </c>
    </row>
    <row r="6" spans="1:11" x14ac:dyDescent="0.25">
      <c r="B6" s="14" t="s">
        <v>20</v>
      </c>
      <c r="C6">
        <v>3.5000000000000003E-2</v>
      </c>
    </row>
    <row r="7" spans="1:11" x14ac:dyDescent="0.25">
      <c r="B7" s="14" t="s">
        <v>21</v>
      </c>
      <c r="C7">
        <v>1.4999999999999999E-2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6" t="s">
        <v>31</v>
      </c>
      <c r="C14" s="26"/>
      <c r="D14" s="26"/>
      <c r="E14" s="26"/>
      <c r="F14" s="26"/>
      <c r="G14" s="26"/>
      <c r="H14" s="26"/>
      <c r="I14" s="26"/>
      <c r="J14" s="26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38</v>
      </c>
      <c r="J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36</v>
      </c>
      <c r="J16" t="s">
        <v>33</v>
      </c>
      <c r="K16" s="17">
        <v>-24358.710918904748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39</v>
      </c>
      <c r="J17" t="s">
        <v>33</v>
      </c>
      <c r="K17" s="17"/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35</v>
      </c>
      <c r="J18" t="s">
        <v>33</v>
      </c>
      <c r="K18" s="17">
        <v>-24307.378213788528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36</v>
      </c>
      <c r="J19" t="s">
        <v>33</v>
      </c>
      <c r="K19" s="17">
        <v>-24358.710918904748</v>
      </c>
    </row>
    <row r="20" spans="1:11" x14ac:dyDescent="0.25">
      <c r="C20" s="4">
        <v>44993</v>
      </c>
      <c r="D20" s="4">
        <v>45359</v>
      </c>
      <c r="E20">
        <v>2.6499999999999999E-2</v>
      </c>
      <c r="F20">
        <v>4.8500000000000001E-2</v>
      </c>
      <c r="G20">
        <v>1813</v>
      </c>
      <c r="H20" s="6">
        <v>1000000</v>
      </c>
      <c r="I20" s="3" t="s">
        <v>36</v>
      </c>
      <c r="J20" t="s">
        <v>33</v>
      </c>
      <c r="K20">
        <v>-147.354517819162</v>
      </c>
    </row>
    <row r="21" spans="1:11" x14ac:dyDescent="0.25">
      <c r="J21" t="s">
        <v>37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20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15240</xdr:rowOff>
                  </from>
                  <to>
                    <xdr:col>11</xdr:col>
                    <xdr:colOff>137160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G18" sqref="G18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  <col min="11" max="11" width="12.296875" bestFit="1" customWidth="1"/>
  </cols>
  <sheetData>
    <row r="2" spans="1:11" x14ac:dyDescent="0.25">
      <c r="B2" s="25" t="s">
        <v>15</v>
      </c>
      <c r="C2" s="25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0.2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0.05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6" t="s">
        <v>31</v>
      </c>
      <c r="C14" s="26"/>
      <c r="D14" s="26"/>
      <c r="E14" s="26"/>
      <c r="F14" s="26"/>
      <c r="G14" s="26"/>
      <c r="H14" s="26"/>
      <c r="I14" s="26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33</v>
      </c>
      <c r="K16" s="17">
        <v>2368.186553763122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33</v>
      </c>
      <c r="K17" s="17">
        <v>199.07020913815558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33</v>
      </c>
      <c r="K18" s="17">
        <v>1161.9296757709635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33</v>
      </c>
      <c r="K19" s="17">
        <v>2157.0453361158698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8"/>
  <sheetViews>
    <sheetView tabSelected="1" topLeftCell="A16" zoomScale="85" zoomScaleNormal="85" workbookViewId="0">
      <selection activeCell="J38" sqref="H29:J38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14" x14ac:dyDescent="0.25">
      <c r="A1" s="7" t="s">
        <v>29</v>
      </c>
    </row>
    <row r="2" spans="1:14" x14ac:dyDescent="0.25">
      <c r="B2" s="25" t="s">
        <v>15</v>
      </c>
      <c r="C2" s="25"/>
      <c r="D2" s="3"/>
      <c r="E2" s="28" t="s">
        <v>16</v>
      </c>
      <c r="F2" s="28"/>
      <c r="G2" s="12" t="s">
        <v>28</v>
      </c>
    </row>
    <row r="3" spans="1:14" x14ac:dyDescent="0.25">
      <c r="B3" s="14" t="s">
        <v>17</v>
      </c>
      <c r="C3" s="4">
        <v>44993</v>
      </c>
      <c r="E3" s="14" t="s">
        <v>22</v>
      </c>
      <c r="F3" s="4">
        <v>44993</v>
      </c>
      <c r="G3" s="13">
        <v>4004.4470288375092</v>
      </c>
    </row>
    <row r="4" spans="1:14" x14ac:dyDescent="0.25">
      <c r="B4" s="14" t="s">
        <v>18</v>
      </c>
      <c r="C4">
        <v>1813</v>
      </c>
      <c r="E4" s="14" t="s">
        <v>23</v>
      </c>
      <c r="F4" s="4">
        <v>45359</v>
      </c>
      <c r="L4" t="s">
        <v>48</v>
      </c>
      <c r="M4" t="s">
        <v>47</v>
      </c>
      <c r="N4">
        <v>1834</v>
      </c>
    </row>
    <row r="5" spans="1:14" x14ac:dyDescent="0.25">
      <c r="B5" s="14" t="s">
        <v>19</v>
      </c>
      <c r="C5">
        <v>0.15</v>
      </c>
      <c r="E5" s="14" t="s">
        <v>24</v>
      </c>
      <c r="F5" s="20">
        <v>2.6499999999999999E-2</v>
      </c>
      <c r="M5" t="s">
        <v>51</v>
      </c>
      <c r="N5" s="21">
        <v>0.15</v>
      </c>
    </row>
    <row r="6" spans="1:14" x14ac:dyDescent="0.25">
      <c r="B6" s="14" t="s">
        <v>20</v>
      </c>
      <c r="C6" s="18">
        <v>5.5E-2</v>
      </c>
      <c r="E6" s="14" t="s">
        <v>26</v>
      </c>
      <c r="F6" s="20">
        <v>4.3999999999999997E-2</v>
      </c>
      <c r="M6" t="s">
        <v>50</v>
      </c>
      <c r="N6" s="18">
        <v>5.5E-2</v>
      </c>
    </row>
    <row r="7" spans="1:14" x14ac:dyDescent="0.25">
      <c r="B7" s="14" t="s">
        <v>21</v>
      </c>
      <c r="C7" s="18">
        <v>0</v>
      </c>
      <c r="E7" s="14" t="s">
        <v>25</v>
      </c>
      <c r="F7">
        <f>C4*F11</f>
        <v>1813</v>
      </c>
      <c r="M7" t="s">
        <v>52</v>
      </c>
      <c r="N7" s="18">
        <v>2.4E-2</v>
      </c>
    </row>
    <row r="8" spans="1:14" x14ac:dyDescent="0.25">
      <c r="B8" s="14"/>
      <c r="C8" s="21"/>
      <c r="E8" s="14" t="s">
        <v>27</v>
      </c>
      <c r="F8" s="6">
        <v>100000000</v>
      </c>
      <c r="L8" t="s">
        <v>49</v>
      </c>
      <c r="M8" t="s">
        <v>47</v>
      </c>
      <c r="N8">
        <v>416.7</v>
      </c>
    </row>
    <row r="9" spans="1:14" x14ac:dyDescent="0.25">
      <c r="E9" s="14" t="s">
        <v>40</v>
      </c>
      <c r="F9">
        <v>0</v>
      </c>
      <c r="M9" t="s">
        <v>51</v>
      </c>
      <c r="N9" s="18">
        <v>0.105</v>
      </c>
    </row>
    <row r="10" spans="1:14" x14ac:dyDescent="0.25">
      <c r="E10" s="8"/>
      <c r="M10" t="s">
        <v>50</v>
      </c>
      <c r="N10" s="18">
        <v>2.4E-2</v>
      </c>
    </row>
    <row r="11" spans="1:14" x14ac:dyDescent="0.25">
      <c r="A11" s="1"/>
      <c r="B11" s="15"/>
      <c r="D11" s="9"/>
      <c r="E11" s="11"/>
      <c r="F11" s="19">
        <v>1</v>
      </c>
      <c r="K11" s="13">
        <v>110233.54653803147</v>
      </c>
    </row>
    <row r="12" spans="1:14" x14ac:dyDescent="0.25">
      <c r="A12" s="1"/>
      <c r="B12" s="4"/>
      <c r="C12" s="4"/>
      <c r="E12" s="4"/>
    </row>
    <row r="13" spans="1:14" x14ac:dyDescent="0.25">
      <c r="A13" s="1"/>
      <c r="B13" s="4"/>
      <c r="C13" s="4"/>
      <c r="E13" s="4"/>
      <c r="H13">
        <f>1813</f>
        <v>1813</v>
      </c>
    </row>
    <row r="14" spans="1:14" x14ac:dyDescent="0.25">
      <c r="A14" s="1"/>
      <c r="B14" s="4"/>
      <c r="C14" s="4"/>
      <c r="E14" s="4"/>
      <c r="H14">
        <v>103</v>
      </c>
    </row>
    <row r="15" spans="1:14" x14ac:dyDescent="0.25">
      <c r="A15" s="1"/>
      <c r="B15" s="4"/>
      <c r="C15" s="4"/>
      <c r="E15" s="4"/>
      <c r="H15">
        <f>SUM(H13:H14)</f>
        <v>1916</v>
      </c>
      <c r="I15">
        <f>LN(H15/H13)</f>
        <v>5.5256747775954844E-2</v>
      </c>
    </row>
    <row r="16" spans="1:14" x14ac:dyDescent="0.25">
      <c r="A16" s="1"/>
      <c r="B16" s="4"/>
      <c r="C16" s="4"/>
      <c r="E16" s="4"/>
    </row>
    <row r="17" spans="1:19" x14ac:dyDescent="0.25">
      <c r="A17" s="1"/>
      <c r="B17" s="4"/>
      <c r="C17" s="4"/>
      <c r="E17" s="4"/>
      <c r="K17" s="13">
        <v>75478.42572907501</v>
      </c>
    </row>
    <row r="18" spans="1:19" x14ac:dyDescent="0.25">
      <c r="A18" s="1"/>
      <c r="B18" s="4"/>
      <c r="C18" s="4"/>
      <c r="E18" s="4"/>
      <c r="K18" s="13">
        <v>88110.123972035712</v>
      </c>
      <c r="M18" s="22" t="s">
        <v>53</v>
      </c>
      <c r="N18" s="27" t="s">
        <v>54</v>
      </c>
      <c r="O18" s="27"/>
      <c r="P18" s="27"/>
      <c r="Q18" s="27" t="s">
        <v>55</v>
      </c>
      <c r="R18" s="27"/>
      <c r="S18" s="27"/>
    </row>
    <row r="19" spans="1:19" x14ac:dyDescent="0.25">
      <c r="A19" s="1"/>
      <c r="B19" s="4"/>
      <c r="C19" s="4"/>
      <c r="E19" s="4"/>
      <c r="M19" s="22"/>
      <c r="N19" s="23">
        <v>0.99</v>
      </c>
      <c r="O19" s="23">
        <v>1</v>
      </c>
      <c r="P19" s="23">
        <v>1.01</v>
      </c>
      <c r="Q19" s="23">
        <v>0.99</v>
      </c>
      <c r="R19" s="23">
        <v>1</v>
      </c>
      <c r="S19" s="23">
        <v>1.01</v>
      </c>
    </row>
    <row r="20" spans="1:19" x14ac:dyDescent="0.25">
      <c r="A20" s="1"/>
      <c r="B20" s="4"/>
      <c r="C20" s="4"/>
      <c r="E20" s="4"/>
      <c r="M20" s="22"/>
      <c r="N20" s="24">
        <v>4.1500000000000002E-2</v>
      </c>
      <c r="O20" s="24">
        <v>4.4200000000000003E-2</v>
      </c>
      <c r="P20" s="24">
        <v>4.6800000000000001E-2</v>
      </c>
      <c r="Q20" s="24">
        <v>6.9699999999999998E-2</v>
      </c>
      <c r="R20" s="24">
        <v>6.3899999999999998E-2</v>
      </c>
      <c r="S20" s="24">
        <v>5.8299999999999998E-2</v>
      </c>
    </row>
    <row r="21" spans="1:19" x14ac:dyDescent="0.25">
      <c r="A21" s="1"/>
      <c r="B21" s="4"/>
      <c r="C21" s="4"/>
      <c r="E21" s="4"/>
    </row>
    <row r="22" spans="1:19" x14ac:dyDescent="0.25">
      <c r="A22" s="1"/>
      <c r="B22" s="4"/>
      <c r="C22" s="4"/>
      <c r="E22" s="4"/>
      <c r="M22" s="22" t="s">
        <v>56</v>
      </c>
      <c r="N22" s="27" t="s">
        <v>54</v>
      </c>
      <c r="O22" s="27"/>
      <c r="P22" s="27"/>
      <c r="Q22" s="27" t="s">
        <v>55</v>
      </c>
      <c r="R22" s="27"/>
      <c r="S22" s="27"/>
    </row>
    <row r="23" spans="1:19" x14ac:dyDescent="0.25">
      <c r="A23" s="1"/>
      <c r="B23" s="4"/>
      <c r="C23" s="4"/>
      <c r="E23" s="4" t="b">
        <f>AND(FALSE,TRUE)</f>
        <v>0</v>
      </c>
      <c r="H23" t="s">
        <v>42</v>
      </c>
      <c r="I23" t="s">
        <v>43</v>
      </c>
      <c r="J23" t="s">
        <v>44</v>
      </c>
      <c r="M23" s="22"/>
      <c r="N23" s="23">
        <v>0.99</v>
      </c>
      <c r="O23" s="23">
        <v>1</v>
      </c>
      <c r="P23" s="23">
        <v>1.01</v>
      </c>
      <c r="Q23" s="23">
        <v>0.99</v>
      </c>
      <c r="R23" s="23">
        <v>1</v>
      </c>
      <c r="S23" s="23">
        <v>1.01</v>
      </c>
    </row>
    <row r="24" spans="1:19" x14ac:dyDescent="0.25">
      <c r="H24">
        <v>1</v>
      </c>
      <c r="I24">
        <v>53186</v>
      </c>
      <c r="J24">
        <f>H24*I24</f>
        <v>53186</v>
      </c>
      <c r="M24" s="22"/>
      <c r="N24" s="24">
        <v>4.2700000000000002E-2</v>
      </c>
      <c r="O24" s="24">
        <v>4.7199999999999999E-2</v>
      </c>
      <c r="P24" s="24">
        <v>5.1499999999999997E-2</v>
      </c>
      <c r="Q24" s="24">
        <v>6.6600000000000006E-2</v>
      </c>
      <c r="R24" s="24">
        <v>5.8999999999999997E-2</v>
      </c>
      <c r="S24" s="24">
        <v>5.2600000000000001E-2</v>
      </c>
    </row>
    <row r="25" spans="1:19" x14ac:dyDescent="0.25">
      <c r="H25">
        <v>2</v>
      </c>
      <c r="I25">
        <v>12054</v>
      </c>
      <c r="J25">
        <f t="shared" ref="J25:J35" si="0">H25*I25</f>
        <v>24108</v>
      </c>
    </row>
    <row r="26" spans="1:19" x14ac:dyDescent="0.25">
      <c r="H26">
        <v>3</v>
      </c>
      <c r="I26">
        <v>7205</v>
      </c>
      <c r="J26">
        <f t="shared" si="0"/>
        <v>21615</v>
      </c>
    </row>
    <row r="27" spans="1:19" x14ac:dyDescent="0.25">
      <c r="H27">
        <v>4</v>
      </c>
      <c r="I27">
        <v>4077</v>
      </c>
      <c r="J27">
        <f t="shared" si="0"/>
        <v>16308</v>
      </c>
    </row>
    <row r="28" spans="1:19" x14ac:dyDescent="0.25">
      <c r="H28">
        <v>5</v>
      </c>
      <c r="I28">
        <v>2851</v>
      </c>
      <c r="J28">
        <f t="shared" si="0"/>
        <v>14255</v>
      </c>
    </row>
    <row r="29" spans="1:19" x14ac:dyDescent="0.25">
      <c r="H29">
        <v>6</v>
      </c>
      <c r="I29">
        <v>2404</v>
      </c>
      <c r="J29">
        <f t="shared" si="0"/>
        <v>14424</v>
      </c>
    </row>
    <row r="30" spans="1:19" x14ac:dyDescent="0.25">
      <c r="H30">
        <v>7</v>
      </c>
      <c r="I30">
        <v>1367</v>
      </c>
      <c r="J30">
        <f t="shared" si="0"/>
        <v>9569</v>
      </c>
    </row>
    <row r="31" spans="1:19" x14ac:dyDescent="0.25">
      <c r="H31">
        <v>8</v>
      </c>
      <c r="I31">
        <v>1417</v>
      </c>
      <c r="J31">
        <f t="shared" si="0"/>
        <v>11336</v>
      </c>
    </row>
    <row r="32" spans="1:19" x14ac:dyDescent="0.25">
      <c r="H32">
        <v>9</v>
      </c>
      <c r="I32">
        <v>1230</v>
      </c>
      <c r="J32">
        <f t="shared" si="0"/>
        <v>11070</v>
      </c>
    </row>
    <row r="33" spans="8:10" x14ac:dyDescent="0.25">
      <c r="H33">
        <v>10</v>
      </c>
      <c r="I33">
        <v>951</v>
      </c>
      <c r="J33">
        <f t="shared" si="0"/>
        <v>9510</v>
      </c>
    </row>
    <row r="34" spans="8:10" x14ac:dyDescent="0.25">
      <c r="H34">
        <v>11</v>
      </c>
      <c r="I34">
        <v>931</v>
      </c>
      <c r="J34">
        <f t="shared" si="0"/>
        <v>10241</v>
      </c>
    </row>
    <row r="35" spans="8:10" x14ac:dyDescent="0.25">
      <c r="H35">
        <v>12</v>
      </c>
      <c r="I35">
        <v>557</v>
      </c>
      <c r="J35">
        <f t="shared" si="0"/>
        <v>6684</v>
      </c>
    </row>
    <row r="36" spans="8:10" x14ac:dyDescent="0.25">
      <c r="H36" t="s">
        <v>46</v>
      </c>
      <c r="I36">
        <f>100000-SUM(I24:I35)</f>
        <v>11770</v>
      </c>
      <c r="J36">
        <f>I36*12</f>
        <v>141240</v>
      </c>
    </row>
    <row r="37" spans="8:10" x14ac:dyDescent="0.25">
      <c r="H37" t="s">
        <v>41</v>
      </c>
      <c r="I37">
        <f>SUM(I24:I36)</f>
        <v>100000</v>
      </c>
      <c r="J37">
        <f>SUM(J24:J36)</f>
        <v>343546</v>
      </c>
    </row>
    <row r="38" spans="8:10" x14ac:dyDescent="0.25">
      <c r="H38" s="29" t="s">
        <v>45</v>
      </c>
      <c r="I38" s="29"/>
      <c r="J38">
        <f>J37/I37</f>
        <v>3.43546</v>
      </c>
    </row>
  </sheetData>
  <mergeCells count="7">
    <mergeCell ref="Q18:S18"/>
    <mergeCell ref="Q22:S22"/>
    <mergeCell ref="B2:C2"/>
    <mergeCell ref="E2:F2"/>
    <mergeCell ref="H38:I38"/>
    <mergeCell ref="N18:P18"/>
    <mergeCell ref="N22:P2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2m_single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41295-67FF-4BD5-A158-FB1F809BB346}">
  <sheetPr codeName="Sheet6"/>
  <dimension ref="A1:F17"/>
  <sheetViews>
    <sheetView workbookViewId="0">
      <selection activeCell="E19" sqref="E19"/>
    </sheetView>
  </sheetViews>
  <sheetFormatPr defaultRowHeight="15.6" x14ac:dyDescent="0.25"/>
  <cols>
    <col min="1" max="1" width="4" customWidth="1"/>
    <col min="2" max="2" width="12.19921875" bestFit="1" customWidth="1"/>
    <col min="3" max="3" width="11.69921875" customWidth="1"/>
    <col min="4" max="4" width="3.69921875" customWidth="1"/>
    <col min="5" max="5" width="8.3984375" style="3" customWidth="1"/>
    <col min="6" max="6" width="12.19921875" customWidth="1"/>
  </cols>
  <sheetData>
    <row r="1" spans="1:6" x14ac:dyDescent="0.25">
      <c r="A1" s="7" t="s">
        <v>61</v>
      </c>
    </row>
    <row r="2" spans="1:6" x14ac:dyDescent="0.25">
      <c r="B2" s="31" t="s">
        <v>59</v>
      </c>
      <c r="C2" s="31"/>
      <c r="E2" s="30" t="s">
        <v>58</v>
      </c>
      <c r="F2" s="30"/>
    </row>
    <row r="3" spans="1:6" x14ac:dyDescent="0.25">
      <c r="B3" s="14" t="s">
        <v>22</v>
      </c>
      <c r="C3" s="5">
        <v>45006</v>
      </c>
      <c r="E3" s="3">
        <v>1</v>
      </c>
      <c r="F3" s="5">
        <v>45037</v>
      </c>
    </row>
    <row r="4" spans="1:6" x14ac:dyDescent="0.25">
      <c r="B4" s="14" t="s">
        <v>57</v>
      </c>
      <c r="C4">
        <v>12</v>
      </c>
      <c r="E4" s="3">
        <v>2</v>
      </c>
      <c r="F4" s="5">
        <v>45068</v>
      </c>
    </row>
    <row r="5" spans="1:6" x14ac:dyDescent="0.25">
      <c r="B5" s="14" t="s">
        <v>60</v>
      </c>
      <c r="C5">
        <v>0</v>
      </c>
      <c r="E5" s="3">
        <v>3</v>
      </c>
      <c r="F5" s="5">
        <v>45098</v>
      </c>
    </row>
    <row r="6" spans="1:6" x14ac:dyDescent="0.25">
      <c r="E6" s="3">
        <v>4</v>
      </c>
      <c r="F6" s="5">
        <v>45128</v>
      </c>
    </row>
    <row r="7" spans="1:6" x14ac:dyDescent="0.25">
      <c r="E7" s="3">
        <v>5</v>
      </c>
      <c r="F7" s="5">
        <v>45159</v>
      </c>
    </row>
    <row r="8" spans="1:6" x14ac:dyDescent="0.25">
      <c r="E8" s="3">
        <v>6</v>
      </c>
      <c r="F8" s="5">
        <v>45190</v>
      </c>
    </row>
    <row r="9" spans="1:6" x14ac:dyDescent="0.25">
      <c r="E9" s="3">
        <v>7</v>
      </c>
      <c r="F9" s="5">
        <v>45222</v>
      </c>
    </row>
    <row r="10" spans="1:6" x14ac:dyDescent="0.25">
      <c r="E10" s="3">
        <v>8</v>
      </c>
      <c r="F10" s="5">
        <v>45251</v>
      </c>
    </row>
    <row r="11" spans="1:6" x14ac:dyDescent="0.25">
      <c r="E11" s="3">
        <v>9</v>
      </c>
      <c r="F11" s="5">
        <v>45281</v>
      </c>
    </row>
    <row r="12" spans="1:6" x14ac:dyDescent="0.25">
      <c r="E12" s="3">
        <v>10</v>
      </c>
      <c r="F12" s="5">
        <v>45313</v>
      </c>
    </row>
    <row r="13" spans="1:6" x14ac:dyDescent="0.25">
      <c r="E13" s="3">
        <v>11</v>
      </c>
      <c r="F13" s="5">
        <v>45343</v>
      </c>
    </row>
    <row r="14" spans="1:6" x14ac:dyDescent="0.25">
      <c r="E14" s="3">
        <v>12</v>
      </c>
      <c r="F14" s="5">
        <v>45372</v>
      </c>
    </row>
    <row r="15" spans="1:6" x14ac:dyDescent="0.25">
      <c r="F15" s="5"/>
    </row>
    <row r="16" spans="1:6" x14ac:dyDescent="0.25">
      <c r="F16" s="5"/>
    </row>
    <row r="17" spans="6:6" x14ac:dyDescent="0.25">
      <c r="F17" s="5"/>
    </row>
  </sheetData>
  <mergeCells count="2">
    <mergeCell ref="E2:F2"/>
    <mergeCell ref="B2:C2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_obs_dats">
                <anchor moveWithCells="1" sizeWithCells="1">
                  <from>
                    <xdr:col>1</xdr:col>
                    <xdr:colOff>327660</xdr:colOff>
                    <xdr:row>6</xdr:row>
                    <xdr:rowOff>60960</xdr:rowOff>
                  </from>
                  <to>
                    <xdr:col>2</xdr:col>
                    <xdr:colOff>601980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1095"/>
  <sheetViews>
    <sheetView workbookViewId="0">
      <selection activeCell="G16" sqref="G16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45387</v>
      </c>
    </row>
    <row r="546" spans="1:1" x14ac:dyDescent="0.25">
      <c r="A546" s="4">
        <v>45390</v>
      </c>
    </row>
    <row r="547" spans="1:1" x14ac:dyDescent="0.25">
      <c r="A547" s="4">
        <v>45391</v>
      </c>
    </row>
    <row r="548" spans="1:1" x14ac:dyDescent="0.25">
      <c r="A548" s="4">
        <v>45392</v>
      </c>
    </row>
    <row r="549" spans="1:1" x14ac:dyDescent="0.25">
      <c r="A549" s="4">
        <v>45393</v>
      </c>
    </row>
    <row r="550" spans="1:1" x14ac:dyDescent="0.25">
      <c r="A550" s="4">
        <v>45394</v>
      </c>
    </row>
    <row r="551" spans="1:1" x14ac:dyDescent="0.25">
      <c r="A551" s="4">
        <v>45397</v>
      </c>
    </row>
    <row r="552" spans="1:1" x14ac:dyDescent="0.25">
      <c r="A552" s="4">
        <v>45398</v>
      </c>
    </row>
    <row r="553" spans="1:1" x14ac:dyDescent="0.25">
      <c r="A553" s="4">
        <v>45399</v>
      </c>
    </row>
    <row r="554" spans="1:1" x14ac:dyDescent="0.25">
      <c r="A554" s="4">
        <v>45400</v>
      </c>
    </row>
    <row r="555" spans="1:1" x14ac:dyDescent="0.25">
      <c r="A555" s="4">
        <v>45401</v>
      </c>
    </row>
    <row r="556" spans="1:1" x14ac:dyDescent="0.25">
      <c r="A556" s="4">
        <v>45404</v>
      </c>
    </row>
    <row r="557" spans="1:1" x14ac:dyDescent="0.25">
      <c r="A557" s="4">
        <v>45405</v>
      </c>
    </row>
    <row r="558" spans="1:1" x14ac:dyDescent="0.25">
      <c r="A558" s="4">
        <v>45406</v>
      </c>
    </row>
    <row r="559" spans="1:1" x14ac:dyDescent="0.25">
      <c r="A559" s="4">
        <v>45407</v>
      </c>
    </row>
    <row r="560" spans="1:1" x14ac:dyDescent="0.25">
      <c r="A560" s="4">
        <v>45408</v>
      </c>
    </row>
    <row r="561" spans="1:1" x14ac:dyDescent="0.25">
      <c r="A561" s="4">
        <v>45411</v>
      </c>
    </row>
    <row r="562" spans="1:1" x14ac:dyDescent="0.25">
      <c r="A562" s="4">
        <v>45412</v>
      </c>
    </row>
    <row r="563" spans="1:1" x14ac:dyDescent="0.25">
      <c r="A563" s="4">
        <v>45414</v>
      </c>
    </row>
    <row r="564" spans="1:1" x14ac:dyDescent="0.25">
      <c r="A564" s="4">
        <v>45415</v>
      </c>
    </row>
    <row r="565" spans="1:1" x14ac:dyDescent="0.25">
      <c r="A565" s="4">
        <v>45418</v>
      </c>
    </row>
    <row r="566" spans="1:1" x14ac:dyDescent="0.25">
      <c r="A566" s="4">
        <v>45419</v>
      </c>
    </row>
    <row r="567" spans="1:1" x14ac:dyDescent="0.25">
      <c r="A567" s="4">
        <v>45420</v>
      </c>
    </row>
    <row r="568" spans="1:1" x14ac:dyDescent="0.25">
      <c r="A568" s="4">
        <v>45421</v>
      </c>
    </row>
    <row r="569" spans="1:1" x14ac:dyDescent="0.25">
      <c r="A569" s="4">
        <v>45422</v>
      </c>
    </row>
    <row r="570" spans="1:1" x14ac:dyDescent="0.25">
      <c r="A570" s="4">
        <v>45425</v>
      </c>
    </row>
    <row r="571" spans="1:1" x14ac:dyDescent="0.25">
      <c r="A571" s="4">
        <v>45426</v>
      </c>
    </row>
    <row r="572" spans="1:1" x14ac:dyDescent="0.25">
      <c r="A572" s="4">
        <v>45427</v>
      </c>
    </row>
    <row r="573" spans="1:1" x14ac:dyDescent="0.25">
      <c r="A573" s="4">
        <v>45428</v>
      </c>
    </row>
    <row r="574" spans="1:1" x14ac:dyDescent="0.25">
      <c r="A574" s="4">
        <v>45429</v>
      </c>
    </row>
    <row r="575" spans="1:1" x14ac:dyDescent="0.25">
      <c r="A575" s="4">
        <v>45432</v>
      </c>
    </row>
    <row r="576" spans="1:1" x14ac:dyDescent="0.25">
      <c r="A576" s="4">
        <v>45433</v>
      </c>
    </row>
    <row r="577" spans="1:1" x14ac:dyDescent="0.25">
      <c r="A577" s="4">
        <v>45434</v>
      </c>
    </row>
    <row r="578" spans="1:1" x14ac:dyDescent="0.25">
      <c r="A578" s="4">
        <v>45435</v>
      </c>
    </row>
    <row r="579" spans="1:1" x14ac:dyDescent="0.25">
      <c r="A579" s="4">
        <v>45436</v>
      </c>
    </row>
    <row r="580" spans="1:1" x14ac:dyDescent="0.25">
      <c r="A580" s="4">
        <v>45439</v>
      </c>
    </row>
    <row r="581" spans="1:1" x14ac:dyDescent="0.25">
      <c r="A581" s="4">
        <v>45440</v>
      </c>
    </row>
    <row r="582" spans="1:1" x14ac:dyDescent="0.25">
      <c r="A582" s="4">
        <v>45441</v>
      </c>
    </row>
    <row r="583" spans="1:1" x14ac:dyDescent="0.25">
      <c r="A583" s="4">
        <v>45442</v>
      </c>
    </row>
    <row r="584" spans="1:1" x14ac:dyDescent="0.25">
      <c r="A584" s="4">
        <v>45443</v>
      </c>
    </row>
    <row r="585" spans="1:1" x14ac:dyDescent="0.25">
      <c r="A585" s="4">
        <v>45446</v>
      </c>
    </row>
    <row r="586" spans="1:1" x14ac:dyDescent="0.25">
      <c r="A586" s="4">
        <v>45447</v>
      </c>
    </row>
    <row r="587" spans="1:1" x14ac:dyDescent="0.25">
      <c r="A587" s="4">
        <v>45448</v>
      </c>
    </row>
    <row r="588" spans="1:1" x14ac:dyDescent="0.25">
      <c r="A588" s="4">
        <v>45449</v>
      </c>
    </row>
    <row r="589" spans="1:1" x14ac:dyDescent="0.25">
      <c r="A589" s="4">
        <v>45450</v>
      </c>
    </row>
    <row r="590" spans="1:1" x14ac:dyDescent="0.25">
      <c r="A590" s="4">
        <v>45454</v>
      </c>
    </row>
    <row r="591" spans="1:1" x14ac:dyDescent="0.25">
      <c r="A591" s="4">
        <v>45455</v>
      </c>
    </row>
    <row r="592" spans="1:1" x14ac:dyDescent="0.25">
      <c r="A592" s="4">
        <v>45456</v>
      </c>
    </row>
    <row r="593" spans="1:1" x14ac:dyDescent="0.25">
      <c r="A593" s="4">
        <v>45457</v>
      </c>
    </row>
    <row r="594" spans="1:1" x14ac:dyDescent="0.25">
      <c r="A594" s="4">
        <v>45460</v>
      </c>
    </row>
    <row r="595" spans="1:1" x14ac:dyDescent="0.25">
      <c r="A595" s="4">
        <v>45461</v>
      </c>
    </row>
    <row r="596" spans="1:1" x14ac:dyDescent="0.25">
      <c r="A596" s="4">
        <v>45462</v>
      </c>
    </row>
    <row r="597" spans="1:1" x14ac:dyDescent="0.25">
      <c r="A597" s="4">
        <v>45463</v>
      </c>
    </row>
    <row r="598" spans="1:1" x14ac:dyDescent="0.25">
      <c r="A598" s="4">
        <v>45464</v>
      </c>
    </row>
    <row r="599" spans="1:1" x14ac:dyDescent="0.25">
      <c r="A599" s="4">
        <v>45467</v>
      </c>
    </row>
    <row r="600" spans="1:1" x14ac:dyDescent="0.25">
      <c r="A600" s="4">
        <v>45468</v>
      </c>
    </row>
    <row r="601" spans="1:1" x14ac:dyDescent="0.25">
      <c r="A601" s="4">
        <v>45469</v>
      </c>
    </row>
    <row r="602" spans="1:1" x14ac:dyDescent="0.25">
      <c r="A602" s="4">
        <v>45470</v>
      </c>
    </row>
    <row r="603" spans="1:1" x14ac:dyDescent="0.25">
      <c r="A603" s="4">
        <v>45471</v>
      </c>
    </row>
    <row r="604" spans="1:1" x14ac:dyDescent="0.25">
      <c r="A604" s="4">
        <v>45474</v>
      </c>
    </row>
    <row r="605" spans="1:1" x14ac:dyDescent="0.25">
      <c r="A605" s="4">
        <v>45475</v>
      </c>
    </row>
    <row r="606" spans="1:1" x14ac:dyDescent="0.25">
      <c r="A606" s="4">
        <v>45476</v>
      </c>
    </row>
    <row r="607" spans="1:1" x14ac:dyDescent="0.25">
      <c r="A607" s="4">
        <v>45477</v>
      </c>
    </row>
    <row r="608" spans="1:1" x14ac:dyDescent="0.25">
      <c r="A608" s="4">
        <v>45478</v>
      </c>
    </row>
    <row r="609" spans="1:1" x14ac:dyDescent="0.25">
      <c r="A609" s="4">
        <v>45481</v>
      </c>
    </row>
    <row r="610" spans="1:1" x14ac:dyDescent="0.25">
      <c r="A610" s="4">
        <v>45482</v>
      </c>
    </row>
    <row r="611" spans="1:1" x14ac:dyDescent="0.25">
      <c r="A611" s="4">
        <v>45483</v>
      </c>
    </row>
    <row r="612" spans="1:1" x14ac:dyDescent="0.25">
      <c r="A612" s="4">
        <v>45484</v>
      </c>
    </row>
    <row r="613" spans="1:1" x14ac:dyDescent="0.25">
      <c r="A613" s="4">
        <v>45485</v>
      </c>
    </row>
    <row r="614" spans="1:1" x14ac:dyDescent="0.25">
      <c r="A614" s="4">
        <v>45488</v>
      </c>
    </row>
    <row r="615" spans="1:1" x14ac:dyDescent="0.25">
      <c r="A615" s="4">
        <v>45489</v>
      </c>
    </row>
    <row r="616" spans="1:1" x14ac:dyDescent="0.25">
      <c r="A616" s="4">
        <v>45490</v>
      </c>
    </row>
    <row r="617" spans="1:1" x14ac:dyDescent="0.25">
      <c r="A617" s="4">
        <v>45491</v>
      </c>
    </row>
    <row r="618" spans="1:1" x14ac:dyDescent="0.25">
      <c r="A618" s="4">
        <v>45492</v>
      </c>
    </row>
    <row r="619" spans="1:1" x14ac:dyDescent="0.25">
      <c r="A619" s="4">
        <v>45495</v>
      </c>
    </row>
    <row r="620" spans="1:1" x14ac:dyDescent="0.25">
      <c r="A620" s="4">
        <v>45496</v>
      </c>
    </row>
    <row r="621" spans="1:1" x14ac:dyDescent="0.25">
      <c r="A621" s="4">
        <v>45497</v>
      </c>
    </row>
    <row r="622" spans="1:1" x14ac:dyDescent="0.25">
      <c r="A622" s="4">
        <v>45498</v>
      </c>
    </row>
    <row r="623" spans="1:1" x14ac:dyDescent="0.25">
      <c r="A623" s="4">
        <v>45499</v>
      </c>
    </row>
    <row r="624" spans="1:1" x14ac:dyDescent="0.25">
      <c r="A624" s="4">
        <v>45502</v>
      </c>
    </row>
    <row r="625" spans="1:1" x14ac:dyDescent="0.25">
      <c r="A625" s="4">
        <v>45503</v>
      </c>
    </row>
    <row r="626" spans="1:1" x14ac:dyDescent="0.25">
      <c r="A626" s="4">
        <v>45504</v>
      </c>
    </row>
    <row r="627" spans="1:1" x14ac:dyDescent="0.25">
      <c r="A627" s="4">
        <v>45505</v>
      </c>
    </row>
    <row r="628" spans="1:1" x14ac:dyDescent="0.25">
      <c r="A628" s="4">
        <v>45506</v>
      </c>
    </row>
    <row r="629" spans="1:1" x14ac:dyDescent="0.25">
      <c r="A629" s="4">
        <v>45509</v>
      </c>
    </row>
    <row r="630" spans="1:1" x14ac:dyDescent="0.25">
      <c r="A630" s="4">
        <v>45510</v>
      </c>
    </row>
    <row r="631" spans="1:1" x14ac:dyDescent="0.25">
      <c r="A631" s="4">
        <v>45511</v>
      </c>
    </row>
    <row r="632" spans="1:1" x14ac:dyDescent="0.25">
      <c r="A632" s="4">
        <v>45512</v>
      </c>
    </row>
    <row r="633" spans="1:1" x14ac:dyDescent="0.25">
      <c r="A633" s="4">
        <v>45513</v>
      </c>
    </row>
    <row r="634" spans="1:1" x14ac:dyDescent="0.25">
      <c r="A634" s="4">
        <v>45516</v>
      </c>
    </row>
    <row r="635" spans="1:1" x14ac:dyDescent="0.25">
      <c r="A635" s="4">
        <v>45517</v>
      </c>
    </row>
    <row r="636" spans="1:1" x14ac:dyDescent="0.25">
      <c r="A636" s="4">
        <v>45518</v>
      </c>
    </row>
    <row r="637" spans="1:1" x14ac:dyDescent="0.25">
      <c r="A637" s="4">
        <v>45519</v>
      </c>
    </row>
    <row r="638" spans="1:1" x14ac:dyDescent="0.25">
      <c r="A638" s="4">
        <v>45520</v>
      </c>
    </row>
    <row r="639" spans="1:1" x14ac:dyDescent="0.25">
      <c r="A639" s="4">
        <v>45523</v>
      </c>
    </row>
    <row r="640" spans="1:1" x14ac:dyDescent="0.25">
      <c r="A640" s="4">
        <v>45524</v>
      </c>
    </row>
    <row r="641" spans="1:1" x14ac:dyDescent="0.25">
      <c r="A641" s="4">
        <v>45525</v>
      </c>
    </row>
    <row r="642" spans="1:1" x14ac:dyDescent="0.25">
      <c r="A642" s="4">
        <v>45526</v>
      </c>
    </row>
    <row r="643" spans="1:1" x14ac:dyDescent="0.25">
      <c r="A643" s="4">
        <v>45527</v>
      </c>
    </row>
    <row r="644" spans="1:1" x14ac:dyDescent="0.25">
      <c r="A644" s="4">
        <v>45530</v>
      </c>
    </row>
    <row r="645" spans="1:1" x14ac:dyDescent="0.25">
      <c r="A645" s="4">
        <v>45531</v>
      </c>
    </row>
    <row r="646" spans="1:1" x14ac:dyDescent="0.25">
      <c r="A646" s="4">
        <v>45532</v>
      </c>
    </row>
    <row r="647" spans="1:1" x14ac:dyDescent="0.25">
      <c r="A647" s="4">
        <v>45533</v>
      </c>
    </row>
    <row r="648" spans="1:1" x14ac:dyDescent="0.25">
      <c r="A648" s="4">
        <v>45534</v>
      </c>
    </row>
    <row r="649" spans="1:1" x14ac:dyDescent="0.25">
      <c r="A649" s="4">
        <v>45537</v>
      </c>
    </row>
    <row r="650" spans="1:1" x14ac:dyDescent="0.25">
      <c r="A650" s="4">
        <v>45538</v>
      </c>
    </row>
    <row r="651" spans="1:1" x14ac:dyDescent="0.25">
      <c r="A651" s="4">
        <v>45539</v>
      </c>
    </row>
    <row r="652" spans="1:1" x14ac:dyDescent="0.25">
      <c r="A652" s="4">
        <v>45540</v>
      </c>
    </row>
    <row r="653" spans="1:1" x14ac:dyDescent="0.25">
      <c r="A653" s="4">
        <v>45541</v>
      </c>
    </row>
    <row r="654" spans="1:1" x14ac:dyDescent="0.25">
      <c r="A654" s="4">
        <v>45544</v>
      </c>
    </row>
    <row r="655" spans="1:1" x14ac:dyDescent="0.25">
      <c r="A655" s="4">
        <v>45545</v>
      </c>
    </row>
    <row r="656" spans="1:1" x14ac:dyDescent="0.25">
      <c r="A656" s="4">
        <v>45546</v>
      </c>
    </row>
    <row r="657" spans="1:1" x14ac:dyDescent="0.25">
      <c r="A657" s="4">
        <v>45547</v>
      </c>
    </row>
    <row r="658" spans="1:1" x14ac:dyDescent="0.25">
      <c r="A658" s="4">
        <v>45548</v>
      </c>
    </row>
    <row r="659" spans="1:1" x14ac:dyDescent="0.25">
      <c r="A659" s="4">
        <v>45551</v>
      </c>
    </row>
    <row r="660" spans="1:1" x14ac:dyDescent="0.25">
      <c r="A660" s="4">
        <v>45553</v>
      </c>
    </row>
    <row r="661" spans="1:1" x14ac:dyDescent="0.25">
      <c r="A661" s="4">
        <v>45554</v>
      </c>
    </row>
    <row r="662" spans="1:1" x14ac:dyDescent="0.25">
      <c r="A662" s="4">
        <v>45555</v>
      </c>
    </row>
    <row r="663" spans="1:1" x14ac:dyDescent="0.25">
      <c r="A663" s="4">
        <v>45558</v>
      </c>
    </row>
    <row r="664" spans="1:1" x14ac:dyDescent="0.25">
      <c r="A664" s="4">
        <v>45559</v>
      </c>
    </row>
    <row r="665" spans="1:1" x14ac:dyDescent="0.25">
      <c r="A665" s="4">
        <v>45560</v>
      </c>
    </row>
    <row r="666" spans="1:1" x14ac:dyDescent="0.25">
      <c r="A666" s="4">
        <v>45561</v>
      </c>
    </row>
    <row r="667" spans="1:1" x14ac:dyDescent="0.25">
      <c r="A667" s="4">
        <v>45562</v>
      </c>
    </row>
    <row r="668" spans="1:1" x14ac:dyDescent="0.25">
      <c r="A668" s="4">
        <v>45565</v>
      </c>
    </row>
    <row r="669" spans="1:1" x14ac:dyDescent="0.25">
      <c r="A669" s="4">
        <v>45572</v>
      </c>
    </row>
    <row r="670" spans="1:1" x14ac:dyDescent="0.25">
      <c r="A670" s="4">
        <v>45573</v>
      </c>
    </row>
    <row r="671" spans="1:1" x14ac:dyDescent="0.25">
      <c r="A671" s="4">
        <v>45574</v>
      </c>
    </row>
    <row r="672" spans="1:1" x14ac:dyDescent="0.25">
      <c r="A672" s="4">
        <v>45575</v>
      </c>
    </row>
    <row r="673" spans="1:1" x14ac:dyDescent="0.25">
      <c r="A673" s="4">
        <v>45576</v>
      </c>
    </row>
    <row r="674" spans="1:1" x14ac:dyDescent="0.25">
      <c r="A674" s="4">
        <v>45579</v>
      </c>
    </row>
    <row r="675" spans="1:1" x14ac:dyDescent="0.25">
      <c r="A675" s="4">
        <v>45580</v>
      </c>
    </row>
    <row r="676" spans="1:1" x14ac:dyDescent="0.25">
      <c r="A676" s="4">
        <v>45581</v>
      </c>
    </row>
    <row r="677" spans="1:1" x14ac:dyDescent="0.25">
      <c r="A677" s="4">
        <v>45582</v>
      </c>
    </row>
    <row r="678" spans="1:1" x14ac:dyDescent="0.25">
      <c r="A678" s="4">
        <v>45583</v>
      </c>
    </row>
    <row r="679" spans="1:1" x14ac:dyDescent="0.25">
      <c r="A679" s="4">
        <v>45586</v>
      </c>
    </row>
    <row r="680" spans="1:1" x14ac:dyDescent="0.25">
      <c r="A680" s="4">
        <v>45587</v>
      </c>
    </row>
    <row r="681" spans="1:1" x14ac:dyDescent="0.25">
      <c r="A681" s="4">
        <v>45588</v>
      </c>
    </row>
    <row r="682" spans="1:1" x14ac:dyDescent="0.25">
      <c r="A682" s="4">
        <v>45589</v>
      </c>
    </row>
    <row r="683" spans="1:1" x14ac:dyDescent="0.25">
      <c r="A683" s="4">
        <v>45590</v>
      </c>
    </row>
    <row r="684" spans="1:1" x14ac:dyDescent="0.25">
      <c r="A684" s="4">
        <v>45593</v>
      </c>
    </row>
    <row r="685" spans="1:1" x14ac:dyDescent="0.25">
      <c r="A685" s="4">
        <v>45594</v>
      </c>
    </row>
    <row r="686" spans="1:1" x14ac:dyDescent="0.25">
      <c r="A686" s="4">
        <v>45595</v>
      </c>
    </row>
    <row r="687" spans="1:1" x14ac:dyDescent="0.25">
      <c r="A687" s="4">
        <v>45596</v>
      </c>
    </row>
    <row r="688" spans="1:1" x14ac:dyDescent="0.25">
      <c r="A688" s="4">
        <v>45597</v>
      </c>
    </row>
    <row r="689" spans="1:1" x14ac:dyDescent="0.25">
      <c r="A689" s="4">
        <v>45600</v>
      </c>
    </row>
    <row r="690" spans="1:1" x14ac:dyDescent="0.25">
      <c r="A690" s="4">
        <v>45601</v>
      </c>
    </row>
    <row r="691" spans="1:1" x14ac:dyDescent="0.25">
      <c r="A691" s="4">
        <v>45602</v>
      </c>
    </row>
    <row r="692" spans="1:1" x14ac:dyDescent="0.25">
      <c r="A692" s="4">
        <v>45603</v>
      </c>
    </row>
    <row r="693" spans="1:1" x14ac:dyDescent="0.25">
      <c r="A693" s="4">
        <v>45604</v>
      </c>
    </row>
    <row r="694" spans="1:1" x14ac:dyDescent="0.25">
      <c r="A694" s="4">
        <v>45607</v>
      </c>
    </row>
    <row r="695" spans="1:1" x14ac:dyDescent="0.25">
      <c r="A695" s="4">
        <v>45608</v>
      </c>
    </row>
    <row r="696" spans="1:1" x14ac:dyDescent="0.25">
      <c r="A696" s="4">
        <v>45609</v>
      </c>
    </row>
    <row r="697" spans="1:1" x14ac:dyDescent="0.25">
      <c r="A697" s="4">
        <v>45610</v>
      </c>
    </row>
    <row r="698" spans="1:1" x14ac:dyDescent="0.25">
      <c r="A698" s="4">
        <v>45611</v>
      </c>
    </row>
    <row r="699" spans="1:1" x14ac:dyDescent="0.25">
      <c r="A699" s="4">
        <v>45614</v>
      </c>
    </row>
    <row r="700" spans="1:1" x14ac:dyDescent="0.25">
      <c r="A700" s="4">
        <v>45615</v>
      </c>
    </row>
    <row r="701" spans="1:1" x14ac:dyDescent="0.25">
      <c r="A701" s="4">
        <v>45616</v>
      </c>
    </row>
    <row r="702" spans="1:1" x14ac:dyDescent="0.25">
      <c r="A702" s="4">
        <v>45617</v>
      </c>
    </row>
    <row r="703" spans="1:1" x14ac:dyDescent="0.25">
      <c r="A703" s="4">
        <v>45618</v>
      </c>
    </row>
    <row r="704" spans="1:1" x14ac:dyDescent="0.25">
      <c r="A704" s="4">
        <v>45621</v>
      </c>
    </row>
    <row r="705" spans="1:1" x14ac:dyDescent="0.25">
      <c r="A705" s="4">
        <v>45622</v>
      </c>
    </row>
    <row r="706" spans="1:1" x14ac:dyDescent="0.25">
      <c r="A706" s="4">
        <v>45623</v>
      </c>
    </row>
    <row r="707" spans="1:1" x14ac:dyDescent="0.25">
      <c r="A707" s="4">
        <v>45624</v>
      </c>
    </row>
    <row r="708" spans="1:1" x14ac:dyDescent="0.25">
      <c r="A708" s="4">
        <v>45625</v>
      </c>
    </row>
    <row r="709" spans="1:1" x14ac:dyDescent="0.25">
      <c r="A709" s="4">
        <v>45628</v>
      </c>
    </row>
    <row r="710" spans="1:1" x14ac:dyDescent="0.25">
      <c r="A710" s="4">
        <v>45629</v>
      </c>
    </row>
    <row r="711" spans="1:1" x14ac:dyDescent="0.25">
      <c r="A711" s="4">
        <v>45630</v>
      </c>
    </row>
    <row r="712" spans="1:1" x14ac:dyDescent="0.25">
      <c r="A712" s="4">
        <v>45631</v>
      </c>
    </row>
    <row r="713" spans="1:1" x14ac:dyDescent="0.25">
      <c r="A713" s="4">
        <v>45632</v>
      </c>
    </row>
    <row r="714" spans="1:1" x14ac:dyDescent="0.25">
      <c r="A714" s="4">
        <v>45635</v>
      </c>
    </row>
    <row r="715" spans="1:1" x14ac:dyDescent="0.25">
      <c r="A715" s="4">
        <v>45636</v>
      </c>
    </row>
    <row r="716" spans="1:1" x14ac:dyDescent="0.25">
      <c r="A716" s="4">
        <v>45637</v>
      </c>
    </row>
    <row r="717" spans="1:1" x14ac:dyDescent="0.25">
      <c r="A717" s="4">
        <v>45638</v>
      </c>
    </row>
    <row r="718" spans="1:1" x14ac:dyDescent="0.25">
      <c r="A718" s="4">
        <v>45639</v>
      </c>
    </row>
    <row r="719" spans="1:1" x14ac:dyDescent="0.25">
      <c r="A719" s="4">
        <v>45642</v>
      </c>
    </row>
    <row r="720" spans="1:1" x14ac:dyDescent="0.25">
      <c r="A720" s="4">
        <v>45643</v>
      </c>
    </row>
    <row r="721" spans="1:1" x14ac:dyDescent="0.25">
      <c r="A721" s="4">
        <v>45644</v>
      </c>
    </row>
    <row r="722" spans="1:1" x14ac:dyDescent="0.25">
      <c r="A722" s="4">
        <v>45645</v>
      </c>
    </row>
    <row r="723" spans="1:1" x14ac:dyDescent="0.25">
      <c r="A723" s="4">
        <v>45646</v>
      </c>
    </row>
    <row r="724" spans="1:1" x14ac:dyDescent="0.25">
      <c r="A724" s="4">
        <v>45649</v>
      </c>
    </row>
    <row r="725" spans="1:1" x14ac:dyDescent="0.25">
      <c r="A725" s="4">
        <v>45650</v>
      </c>
    </row>
    <row r="726" spans="1:1" x14ac:dyDescent="0.25">
      <c r="A726" s="4">
        <v>45651</v>
      </c>
    </row>
    <row r="727" spans="1:1" x14ac:dyDescent="0.25">
      <c r="A727" s="4">
        <v>45652</v>
      </c>
    </row>
    <row r="728" spans="1:1" x14ac:dyDescent="0.25">
      <c r="A728" s="4">
        <v>45653</v>
      </c>
    </row>
    <row r="729" spans="1:1" x14ac:dyDescent="0.25">
      <c r="A729" s="4">
        <v>45656</v>
      </c>
    </row>
    <row r="730" spans="1:1" x14ac:dyDescent="0.25">
      <c r="A730" s="4">
        <v>45657</v>
      </c>
    </row>
    <row r="731" spans="1:1" x14ac:dyDescent="0.25">
      <c r="A731" s="4">
        <v>45658</v>
      </c>
    </row>
    <row r="732" spans="1:1" x14ac:dyDescent="0.25">
      <c r="A732" s="4">
        <v>45659</v>
      </c>
    </row>
    <row r="733" spans="1:1" x14ac:dyDescent="0.25">
      <c r="A733" s="4">
        <v>45660</v>
      </c>
    </row>
    <row r="734" spans="1:1" x14ac:dyDescent="0.25">
      <c r="A734" s="4">
        <v>45663</v>
      </c>
    </row>
    <row r="735" spans="1:1" x14ac:dyDescent="0.25">
      <c r="A735" s="4">
        <v>45664</v>
      </c>
    </row>
    <row r="736" spans="1:1" x14ac:dyDescent="0.25">
      <c r="A736" s="4">
        <v>45665</v>
      </c>
    </row>
    <row r="737" spans="1:1" x14ac:dyDescent="0.25">
      <c r="A737" s="4">
        <v>45666</v>
      </c>
    </row>
    <row r="738" spans="1:1" x14ac:dyDescent="0.25">
      <c r="A738" s="4">
        <v>45667</v>
      </c>
    </row>
    <row r="739" spans="1:1" x14ac:dyDescent="0.25">
      <c r="A739" s="4">
        <v>45670</v>
      </c>
    </row>
    <row r="740" spans="1:1" x14ac:dyDescent="0.25">
      <c r="A740" s="4">
        <v>45671</v>
      </c>
    </row>
    <row r="741" spans="1:1" x14ac:dyDescent="0.25">
      <c r="A741" s="4">
        <v>45672</v>
      </c>
    </row>
    <row r="742" spans="1:1" x14ac:dyDescent="0.25">
      <c r="A742" s="4">
        <v>45673</v>
      </c>
    </row>
    <row r="743" spans="1:1" x14ac:dyDescent="0.25">
      <c r="A743" s="4">
        <v>45674</v>
      </c>
    </row>
    <row r="744" spans="1:1" x14ac:dyDescent="0.25">
      <c r="A744" s="4">
        <v>45677</v>
      </c>
    </row>
    <row r="745" spans="1:1" x14ac:dyDescent="0.25">
      <c r="A745" s="4">
        <v>45678</v>
      </c>
    </row>
    <row r="746" spans="1:1" x14ac:dyDescent="0.25">
      <c r="A746" s="4">
        <v>45679</v>
      </c>
    </row>
    <row r="747" spans="1:1" x14ac:dyDescent="0.25">
      <c r="A747" s="4">
        <v>45680</v>
      </c>
    </row>
    <row r="748" spans="1:1" x14ac:dyDescent="0.25">
      <c r="A748" s="4">
        <v>45681</v>
      </c>
    </row>
    <row r="749" spans="1:1" x14ac:dyDescent="0.25">
      <c r="A749" s="4">
        <v>45684</v>
      </c>
    </row>
    <row r="750" spans="1:1" x14ac:dyDescent="0.25">
      <c r="A750" s="4">
        <v>45685</v>
      </c>
    </row>
    <row r="751" spans="1:1" x14ac:dyDescent="0.25">
      <c r="A751" s="4">
        <v>45686</v>
      </c>
    </row>
    <row r="752" spans="1:1" x14ac:dyDescent="0.25">
      <c r="A752" s="4">
        <v>45687</v>
      </c>
    </row>
    <row r="753" spans="1:1" x14ac:dyDescent="0.25">
      <c r="A753" s="4">
        <v>45688</v>
      </c>
    </row>
    <row r="754" spans="1:1" x14ac:dyDescent="0.25">
      <c r="A754" s="4">
        <v>45691</v>
      </c>
    </row>
    <row r="755" spans="1:1" x14ac:dyDescent="0.25">
      <c r="A755" s="4">
        <v>45692</v>
      </c>
    </row>
    <row r="756" spans="1:1" x14ac:dyDescent="0.25">
      <c r="A756" s="4">
        <v>45693</v>
      </c>
    </row>
    <row r="757" spans="1:1" x14ac:dyDescent="0.25">
      <c r="A757" s="4">
        <v>45694</v>
      </c>
    </row>
    <row r="758" spans="1:1" x14ac:dyDescent="0.25">
      <c r="A758" s="4">
        <v>45695</v>
      </c>
    </row>
    <row r="759" spans="1:1" x14ac:dyDescent="0.25">
      <c r="A759" s="4">
        <v>45698</v>
      </c>
    </row>
    <row r="760" spans="1:1" x14ac:dyDescent="0.25">
      <c r="A760" s="4">
        <v>45699</v>
      </c>
    </row>
    <row r="761" spans="1:1" x14ac:dyDescent="0.25">
      <c r="A761" s="4">
        <v>45700</v>
      </c>
    </row>
    <row r="762" spans="1:1" x14ac:dyDescent="0.25">
      <c r="A762" s="4">
        <v>45701</v>
      </c>
    </row>
    <row r="763" spans="1:1" x14ac:dyDescent="0.25">
      <c r="A763" s="4">
        <v>45702</v>
      </c>
    </row>
    <row r="764" spans="1:1" x14ac:dyDescent="0.25">
      <c r="A764" s="4">
        <v>45705</v>
      </c>
    </row>
    <row r="765" spans="1:1" x14ac:dyDescent="0.25">
      <c r="A765" s="4">
        <v>45706</v>
      </c>
    </row>
    <row r="766" spans="1:1" x14ac:dyDescent="0.25">
      <c r="A766" s="4">
        <v>45707</v>
      </c>
    </row>
    <row r="767" spans="1:1" x14ac:dyDescent="0.25">
      <c r="A767" s="4">
        <v>45708</v>
      </c>
    </row>
    <row r="768" spans="1:1" x14ac:dyDescent="0.25">
      <c r="A768" s="4">
        <v>45709</v>
      </c>
    </row>
    <row r="769" spans="1:1" x14ac:dyDescent="0.25">
      <c r="A769" s="4">
        <v>45712</v>
      </c>
    </row>
    <row r="770" spans="1:1" x14ac:dyDescent="0.25">
      <c r="A770" s="4">
        <v>45713</v>
      </c>
    </row>
    <row r="771" spans="1:1" x14ac:dyDescent="0.25">
      <c r="A771" s="4">
        <v>45714</v>
      </c>
    </row>
    <row r="772" spans="1:1" x14ac:dyDescent="0.25">
      <c r="A772" s="4">
        <v>45715</v>
      </c>
    </row>
    <row r="773" spans="1:1" x14ac:dyDescent="0.25">
      <c r="A773" s="4">
        <v>45716</v>
      </c>
    </row>
    <row r="774" spans="1:1" x14ac:dyDescent="0.25">
      <c r="A774" s="4">
        <v>45719</v>
      </c>
    </row>
    <row r="775" spans="1:1" x14ac:dyDescent="0.25">
      <c r="A775" s="4">
        <v>45720</v>
      </c>
    </row>
    <row r="776" spans="1:1" x14ac:dyDescent="0.25">
      <c r="A776" s="4">
        <v>45721</v>
      </c>
    </row>
    <row r="777" spans="1:1" x14ac:dyDescent="0.25">
      <c r="A777" s="4">
        <v>45722</v>
      </c>
    </row>
    <row r="778" spans="1:1" x14ac:dyDescent="0.25">
      <c r="A778" s="4">
        <v>45723</v>
      </c>
    </row>
    <row r="779" spans="1:1" x14ac:dyDescent="0.25">
      <c r="A779" s="4">
        <v>45726</v>
      </c>
    </row>
    <row r="780" spans="1:1" x14ac:dyDescent="0.25">
      <c r="A780" s="4">
        <v>45727</v>
      </c>
    </row>
    <row r="781" spans="1:1" x14ac:dyDescent="0.25">
      <c r="A781" s="4">
        <v>45728</v>
      </c>
    </row>
    <row r="782" spans="1:1" x14ac:dyDescent="0.25">
      <c r="A782" s="4">
        <v>45729</v>
      </c>
    </row>
    <row r="783" spans="1:1" x14ac:dyDescent="0.25">
      <c r="A783" s="4">
        <v>45730</v>
      </c>
    </row>
    <row r="784" spans="1:1" x14ac:dyDescent="0.25">
      <c r="A784" s="4">
        <v>45733</v>
      </c>
    </row>
    <row r="785" spans="1:1" x14ac:dyDescent="0.25">
      <c r="A785" s="4">
        <v>45734</v>
      </c>
    </row>
    <row r="786" spans="1:1" x14ac:dyDescent="0.25">
      <c r="A786" s="4">
        <v>45735</v>
      </c>
    </row>
    <row r="787" spans="1:1" x14ac:dyDescent="0.25">
      <c r="A787" s="4">
        <v>45736</v>
      </c>
    </row>
    <row r="788" spans="1:1" x14ac:dyDescent="0.25">
      <c r="A788" s="4">
        <v>45737</v>
      </c>
    </row>
    <row r="789" spans="1:1" x14ac:dyDescent="0.25">
      <c r="A789" s="4">
        <v>45740</v>
      </c>
    </row>
    <row r="790" spans="1:1" x14ac:dyDescent="0.25">
      <c r="A790" s="4">
        <v>45741</v>
      </c>
    </row>
    <row r="791" spans="1:1" x14ac:dyDescent="0.25">
      <c r="A791" s="4">
        <v>45742</v>
      </c>
    </row>
    <row r="792" spans="1:1" x14ac:dyDescent="0.25">
      <c r="A792" s="4">
        <v>45743</v>
      </c>
    </row>
    <row r="793" spans="1:1" x14ac:dyDescent="0.25">
      <c r="A793" s="4">
        <v>45744</v>
      </c>
    </row>
    <row r="794" spans="1:1" x14ac:dyDescent="0.25">
      <c r="A794" s="4">
        <v>45747</v>
      </c>
    </row>
    <row r="795" spans="1:1" x14ac:dyDescent="0.25">
      <c r="A795" s="4">
        <v>45748</v>
      </c>
    </row>
    <row r="796" spans="1:1" x14ac:dyDescent="0.25">
      <c r="A796" s="4">
        <v>45749</v>
      </c>
    </row>
    <row r="797" spans="1:1" x14ac:dyDescent="0.25">
      <c r="A797" s="4">
        <v>45750</v>
      </c>
    </row>
    <row r="798" spans="1:1" x14ac:dyDescent="0.25">
      <c r="A798" s="4">
        <v>45751</v>
      </c>
    </row>
    <row r="799" spans="1:1" x14ac:dyDescent="0.25">
      <c r="A799" s="4">
        <v>45754</v>
      </c>
    </row>
    <row r="800" spans="1:1" x14ac:dyDescent="0.25">
      <c r="A800" s="4">
        <v>45755</v>
      </c>
    </row>
    <row r="801" spans="1:1" x14ac:dyDescent="0.25">
      <c r="A801" s="4">
        <v>45756</v>
      </c>
    </row>
    <row r="802" spans="1:1" x14ac:dyDescent="0.25">
      <c r="A802" s="4">
        <v>45757</v>
      </c>
    </row>
    <row r="803" spans="1:1" x14ac:dyDescent="0.25">
      <c r="A803" s="4">
        <v>45758</v>
      </c>
    </row>
    <row r="804" spans="1:1" x14ac:dyDescent="0.25">
      <c r="A804" s="4">
        <v>45761</v>
      </c>
    </row>
    <row r="805" spans="1:1" x14ac:dyDescent="0.25">
      <c r="A805" s="4">
        <v>45762</v>
      </c>
    </row>
    <row r="806" spans="1:1" x14ac:dyDescent="0.25">
      <c r="A806" s="4">
        <v>45763</v>
      </c>
    </row>
    <row r="807" spans="1:1" x14ac:dyDescent="0.25">
      <c r="A807" s="4">
        <v>45764</v>
      </c>
    </row>
    <row r="808" spans="1:1" x14ac:dyDescent="0.25">
      <c r="A808" s="4">
        <v>45765</v>
      </c>
    </row>
    <row r="809" spans="1:1" x14ac:dyDescent="0.25">
      <c r="A809" s="4">
        <v>45768</v>
      </c>
    </row>
    <row r="810" spans="1:1" x14ac:dyDescent="0.25">
      <c r="A810" s="4">
        <v>45769</v>
      </c>
    </row>
    <row r="811" spans="1:1" x14ac:dyDescent="0.25">
      <c r="A811" s="4">
        <v>45770</v>
      </c>
    </row>
    <row r="812" spans="1:1" x14ac:dyDescent="0.25">
      <c r="A812" s="4">
        <v>45771</v>
      </c>
    </row>
    <row r="813" spans="1:1" x14ac:dyDescent="0.25">
      <c r="A813" s="4">
        <v>45772</v>
      </c>
    </row>
    <row r="814" spans="1:1" x14ac:dyDescent="0.25">
      <c r="A814" s="4">
        <v>45775</v>
      </c>
    </row>
    <row r="815" spans="1:1" x14ac:dyDescent="0.25">
      <c r="A815" s="4">
        <v>45776</v>
      </c>
    </row>
    <row r="816" spans="1:1" x14ac:dyDescent="0.25">
      <c r="A816" s="4">
        <v>45777</v>
      </c>
    </row>
    <row r="817" spans="1:1" x14ac:dyDescent="0.25">
      <c r="A817" s="4">
        <v>45778</v>
      </c>
    </row>
    <row r="818" spans="1:1" x14ac:dyDescent="0.25">
      <c r="A818" s="4">
        <v>45779</v>
      </c>
    </row>
    <row r="819" spans="1:1" x14ac:dyDescent="0.25">
      <c r="A819" s="4">
        <v>45782</v>
      </c>
    </row>
    <row r="820" spans="1:1" x14ac:dyDescent="0.25">
      <c r="A820" s="4">
        <v>45783</v>
      </c>
    </row>
    <row r="821" spans="1:1" x14ac:dyDescent="0.25">
      <c r="A821" s="4">
        <v>45784</v>
      </c>
    </row>
    <row r="822" spans="1:1" x14ac:dyDescent="0.25">
      <c r="A822" s="4">
        <v>45785</v>
      </c>
    </row>
    <row r="823" spans="1:1" x14ac:dyDescent="0.25">
      <c r="A823" s="4">
        <v>45786</v>
      </c>
    </row>
    <row r="824" spans="1:1" x14ac:dyDescent="0.25">
      <c r="A824" s="4">
        <v>45789</v>
      </c>
    </row>
    <row r="825" spans="1:1" x14ac:dyDescent="0.25">
      <c r="A825" s="4">
        <v>45790</v>
      </c>
    </row>
    <row r="826" spans="1:1" x14ac:dyDescent="0.25">
      <c r="A826" s="4">
        <v>45791</v>
      </c>
    </row>
    <row r="827" spans="1:1" x14ac:dyDescent="0.25">
      <c r="A827" s="4">
        <v>45792</v>
      </c>
    </row>
    <row r="828" spans="1:1" x14ac:dyDescent="0.25">
      <c r="A828" s="4">
        <v>45793</v>
      </c>
    </row>
    <row r="829" spans="1:1" x14ac:dyDescent="0.25">
      <c r="A829" s="4">
        <v>45796</v>
      </c>
    </row>
    <row r="830" spans="1:1" x14ac:dyDescent="0.25">
      <c r="A830" s="4">
        <v>45797</v>
      </c>
    </row>
    <row r="831" spans="1:1" x14ac:dyDescent="0.25">
      <c r="A831" s="4">
        <v>45798</v>
      </c>
    </row>
    <row r="832" spans="1:1" x14ac:dyDescent="0.25">
      <c r="A832" s="4">
        <v>45799</v>
      </c>
    </row>
    <row r="833" spans="1:1" x14ac:dyDescent="0.25">
      <c r="A833" s="4">
        <v>45800</v>
      </c>
    </row>
    <row r="834" spans="1:1" x14ac:dyDescent="0.25">
      <c r="A834" s="4">
        <v>45803</v>
      </c>
    </row>
    <row r="835" spans="1:1" x14ac:dyDescent="0.25">
      <c r="A835" s="4">
        <v>45804</v>
      </c>
    </row>
    <row r="836" spans="1:1" x14ac:dyDescent="0.25">
      <c r="A836" s="4">
        <v>45805</v>
      </c>
    </row>
    <row r="837" spans="1:1" x14ac:dyDescent="0.25">
      <c r="A837" s="4">
        <v>45806</v>
      </c>
    </row>
    <row r="838" spans="1:1" x14ac:dyDescent="0.25">
      <c r="A838" s="4">
        <v>45807</v>
      </c>
    </row>
    <row r="839" spans="1:1" x14ac:dyDescent="0.25">
      <c r="A839" s="4">
        <v>45810</v>
      </c>
    </row>
    <row r="840" spans="1:1" x14ac:dyDescent="0.25">
      <c r="A840" s="4">
        <v>45811</v>
      </c>
    </row>
    <row r="841" spans="1:1" x14ac:dyDescent="0.25">
      <c r="A841" s="4">
        <v>45812</v>
      </c>
    </row>
    <row r="842" spans="1:1" x14ac:dyDescent="0.25">
      <c r="A842" s="4">
        <v>45813</v>
      </c>
    </row>
    <row r="843" spans="1:1" x14ac:dyDescent="0.25">
      <c r="A843" s="4">
        <v>45814</v>
      </c>
    </row>
    <row r="844" spans="1:1" x14ac:dyDescent="0.25">
      <c r="A844" s="4">
        <v>45817</v>
      </c>
    </row>
    <row r="845" spans="1:1" x14ac:dyDescent="0.25">
      <c r="A845" s="4">
        <v>45818</v>
      </c>
    </row>
    <row r="846" spans="1:1" x14ac:dyDescent="0.25">
      <c r="A846" s="4">
        <v>45819</v>
      </c>
    </row>
    <row r="847" spans="1:1" x14ac:dyDescent="0.25">
      <c r="A847" s="4">
        <v>45820</v>
      </c>
    </row>
    <row r="848" spans="1:1" x14ac:dyDescent="0.25">
      <c r="A848" s="4">
        <v>45821</v>
      </c>
    </row>
    <row r="849" spans="1:1" x14ac:dyDescent="0.25">
      <c r="A849" s="4">
        <v>45824</v>
      </c>
    </row>
    <row r="850" spans="1:1" x14ac:dyDescent="0.25">
      <c r="A850" s="4">
        <v>45825</v>
      </c>
    </row>
    <row r="851" spans="1:1" x14ac:dyDescent="0.25">
      <c r="A851" s="4">
        <v>45826</v>
      </c>
    </row>
    <row r="852" spans="1:1" x14ac:dyDescent="0.25">
      <c r="A852" s="4">
        <v>45827</v>
      </c>
    </row>
    <row r="853" spans="1:1" x14ac:dyDescent="0.25">
      <c r="A853" s="4">
        <v>45828</v>
      </c>
    </row>
    <row r="854" spans="1:1" x14ac:dyDescent="0.25">
      <c r="A854" s="4">
        <v>45831</v>
      </c>
    </row>
    <row r="855" spans="1:1" x14ac:dyDescent="0.25">
      <c r="A855" s="4">
        <v>45832</v>
      </c>
    </row>
    <row r="856" spans="1:1" x14ac:dyDescent="0.25">
      <c r="A856" s="4">
        <v>45833</v>
      </c>
    </row>
    <row r="857" spans="1:1" x14ac:dyDescent="0.25">
      <c r="A857" s="4">
        <v>45834</v>
      </c>
    </row>
    <row r="858" spans="1:1" x14ac:dyDescent="0.25">
      <c r="A858" s="4">
        <v>45835</v>
      </c>
    </row>
    <row r="859" spans="1:1" x14ac:dyDescent="0.25">
      <c r="A859" s="4">
        <v>45838</v>
      </c>
    </row>
    <row r="860" spans="1:1" x14ac:dyDescent="0.25">
      <c r="A860" s="4">
        <v>45839</v>
      </c>
    </row>
    <row r="861" spans="1:1" x14ac:dyDescent="0.25">
      <c r="A861" s="4">
        <v>45840</v>
      </c>
    </row>
    <row r="862" spans="1:1" x14ac:dyDescent="0.25">
      <c r="A862" s="4">
        <v>45841</v>
      </c>
    </row>
    <row r="863" spans="1:1" x14ac:dyDescent="0.25">
      <c r="A863" s="4">
        <v>45842</v>
      </c>
    </row>
    <row r="864" spans="1:1" x14ac:dyDescent="0.25">
      <c r="A864" s="4">
        <v>45845</v>
      </c>
    </row>
    <row r="865" spans="1:1" x14ac:dyDescent="0.25">
      <c r="A865" s="4">
        <v>45846</v>
      </c>
    </row>
    <row r="866" spans="1:1" x14ac:dyDescent="0.25">
      <c r="A866" s="4">
        <v>45847</v>
      </c>
    </row>
    <row r="867" spans="1:1" x14ac:dyDescent="0.25">
      <c r="A867" s="4">
        <v>45848</v>
      </c>
    </row>
    <row r="868" spans="1:1" x14ac:dyDescent="0.25">
      <c r="A868" s="4">
        <v>45849</v>
      </c>
    </row>
    <row r="869" spans="1:1" x14ac:dyDescent="0.25">
      <c r="A869" s="4">
        <v>45852</v>
      </c>
    </row>
    <row r="870" spans="1:1" x14ac:dyDescent="0.25">
      <c r="A870" s="4">
        <v>45853</v>
      </c>
    </row>
    <row r="871" spans="1:1" x14ac:dyDescent="0.25">
      <c r="A871" s="4">
        <v>45854</v>
      </c>
    </row>
    <row r="872" spans="1:1" x14ac:dyDescent="0.25">
      <c r="A872" s="4">
        <v>45855</v>
      </c>
    </row>
    <row r="873" spans="1:1" x14ac:dyDescent="0.25">
      <c r="A873" s="4">
        <v>45856</v>
      </c>
    </row>
    <row r="874" spans="1:1" x14ac:dyDescent="0.25">
      <c r="A874" s="4">
        <v>45859</v>
      </c>
    </row>
    <row r="875" spans="1:1" x14ac:dyDescent="0.25">
      <c r="A875" s="4">
        <v>45860</v>
      </c>
    </row>
    <row r="876" spans="1:1" x14ac:dyDescent="0.25">
      <c r="A876" s="4">
        <v>45861</v>
      </c>
    </row>
    <row r="877" spans="1:1" x14ac:dyDescent="0.25">
      <c r="A877" s="4">
        <v>45862</v>
      </c>
    </row>
    <row r="878" spans="1:1" x14ac:dyDescent="0.25">
      <c r="A878" s="4">
        <v>45863</v>
      </c>
    </row>
    <row r="879" spans="1:1" x14ac:dyDescent="0.25">
      <c r="A879" s="4">
        <v>45866</v>
      </c>
    </row>
    <row r="880" spans="1:1" x14ac:dyDescent="0.25">
      <c r="A880" s="4">
        <v>45867</v>
      </c>
    </row>
    <row r="881" spans="1:1" x14ac:dyDescent="0.25">
      <c r="A881" s="4">
        <v>45868</v>
      </c>
    </row>
    <row r="882" spans="1:1" x14ac:dyDescent="0.25">
      <c r="A882" s="4">
        <v>45869</v>
      </c>
    </row>
    <row r="883" spans="1:1" x14ac:dyDescent="0.25">
      <c r="A883" s="4">
        <v>45870</v>
      </c>
    </row>
    <row r="884" spans="1:1" x14ac:dyDescent="0.25">
      <c r="A884" s="4">
        <v>45873</v>
      </c>
    </row>
    <row r="885" spans="1:1" x14ac:dyDescent="0.25">
      <c r="A885" s="4">
        <v>45874</v>
      </c>
    </row>
    <row r="886" spans="1:1" x14ac:dyDescent="0.25">
      <c r="A886" s="4">
        <v>45875</v>
      </c>
    </row>
    <row r="887" spans="1:1" x14ac:dyDescent="0.25">
      <c r="A887" s="4">
        <v>45876</v>
      </c>
    </row>
    <row r="888" spans="1:1" x14ac:dyDescent="0.25">
      <c r="A888" s="4">
        <v>45877</v>
      </c>
    </row>
    <row r="889" spans="1:1" x14ac:dyDescent="0.25">
      <c r="A889" s="4">
        <v>45880</v>
      </c>
    </row>
    <row r="890" spans="1:1" x14ac:dyDescent="0.25">
      <c r="A890" s="4">
        <v>45881</v>
      </c>
    </row>
    <row r="891" spans="1:1" x14ac:dyDescent="0.25">
      <c r="A891" s="4">
        <v>45882</v>
      </c>
    </row>
    <row r="892" spans="1:1" x14ac:dyDescent="0.25">
      <c r="A892" s="4">
        <v>45883</v>
      </c>
    </row>
    <row r="893" spans="1:1" x14ac:dyDescent="0.25">
      <c r="A893" s="4">
        <v>45884</v>
      </c>
    </row>
    <row r="894" spans="1:1" x14ac:dyDescent="0.25">
      <c r="A894" s="4">
        <v>45887</v>
      </c>
    </row>
    <row r="895" spans="1:1" x14ac:dyDescent="0.25">
      <c r="A895" s="4">
        <v>45888</v>
      </c>
    </row>
    <row r="896" spans="1:1" x14ac:dyDescent="0.25">
      <c r="A896" s="4">
        <v>45889</v>
      </c>
    </row>
    <row r="897" spans="1:1" x14ac:dyDescent="0.25">
      <c r="A897" s="4">
        <v>45890</v>
      </c>
    </row>
    <row r="898" spans="1:1" x14ac:dyDescent="0.25">
      <c r="A898" s="4">
        <v>45891</v>
      </c>
    </row>
    <row r="899" spans="1:1" x14ac:dyDescent="0.25">
      <c r="A899" s="4">
        <v>45894</v>
      </c>
    </row>
    <row r="900" spans="1:1" x14ac:dyDescent="0.25">
      <c r="A900" s="4">
        <v>45895</v>
      </c>
    </row>
    <row r="901" spans="1:1" x14ac:dyDescent="0.25">
      <c r="A901" s="4">
        <v>45896</v>
      </c>
    </row>
    <row r="902" spans="1:1" x14ac:dyDescent="0.25">
      <c r="A902" s="4">
        <v>45897</v>
      </c>
    </row>
    <row r="903" spans="1:1" x14ac:dyDescent="0.25">
      <c r="A903" s="4">
        <v>45898</v>
      </c>
    </row>
    <row r="904" spans="1:1" x14ac:dyDescent="0.25">
      <c r="A904" s="4">
        <v>45901</v>
      </c>
    </row>
    <row r="905" spans="1:1" x14ac:dyDescent="0.25">
      <c r="A905" s="4">
        <v>45902</v>
      </c>
    </row>
    <row r="906" spans="1:1" x14ac:dyDescent="0.25">
      <c r="A906" s="4">
        <v>45903</v>
      </c>
    </row>
    <row r="907" spans="1:1" x14ac:dyDescent="0.25">
      <c r="A907" s="4">
        <v>45904</v>
      </c>
    </row>
    <row r="908" spans="1:1" x14ac:dyDescent="0.25">
      <c r="A908" s="4">
        <v>45905</v>
      </c>
    </row>
    <row r="909" spans="1:1" x14ac:dyDescent="0.25">
      <c r="A909" s="4">
        <v>45908</v>
      </c>
    </row>
    <row r="910" spans="1:1" x14ac:dyDescent="0.25">
      <c r="A910" s="4">
        <v>45909</v>
      </c>
    </row>
    <row r="911" spans="1:1" x14ac:dyDescent="0.25">
      <c r="A911" s="4">
        <v>45910</v>
      </c>
    </row>
    <row r="912" spans="1:1" x14ac:dyDescent="0.25">
      <c r="A912" s="4">
        <v>45911</v>
      </c>
    </row>
    <row r="913" spans="1:1" x14ac:dyDescent="0.25">
      <c r="A913" s="4">
        <v>45912</v>
      </c>
    </row>
    <row r="914" spans="1:1" x14ac:dyDescent="0.25">
      <c r="A914" s="4">
        <v>45915</v>
      </c>
    </row>
    <row r="915" spans="1:1" x14ac:dyDescent="0.25">
      <c r="A915" s="4">
        <v>45916</v>
      </c>
    </row>
    <row r="916" spans="1:1" x14ac:dyDescent="0.25">
      <c r="A916" s="4">
        <v>45917</v>
      </c>
    </row>
    <row r="917" spans="1:1" x14ac:dyDescent="0.25">
      <c r="A917" s="4">
        <v>45918</v>
      </c>
    </row>
    <row r="918" spans="1:1" x14ac:dyDescent="0.25">
      <c r="A918" s="4">
        <v>45919</v>
      </c>
    </row>
    <row r="919" spans="1:1" x14ac:dyDescent="0.25">
      <c r="A919" s="4">
        <v>45922</v>
      </c>
    </row>
    <row r="920" spans="1:1" x14ac:dyDescent="0.25">
      <c r="A920" s="4">
        <v>45923</v>
      </c>
    </row>
    <row r="921" spans="1:1" x14ac:dyDescent="0.25">
      <c r="A921" s="4">
        <v>45924</v>
      </c>
    </row>
    <row r="922" spans="1:1" x14ac:dyDescent="0.25">
      <c r="A922" s="4">
        <v>45925</v>
      </c>
    </row>
    <row r="923" spans="1:1" x14ac:dyDescent="0.25">
      <c r="A923" s="4">
        <v>45926</v>
      </c>
    </row>
    <row r="924" spans="1:1" x14ac:dyDescent="0.25">
      <c r="A924" s="4">
        <v>45929</v>
      </c>
    </row>
    <row r="925" spans="1:1" x14ac:dyDescent="0.25">
      <c r="A925" s="4">
        <v>45930</v>
      </c>
    </row>
    <row r="926" spans="1:1" x14ac:dyDescent="0.25">
      <c r="A926" s="4">
        <v>45931</v>
      </c>
    </row>
    <row r="927" spans="1:1" x14ac:dyDescent="0.25">
      <c r="A927" s="4">
        <v>45932</v>
      </c>
    </row>
    <row r="928" spans="1:1" x14ac:dyDescent="0.25">
      <c r="A928" s="4">
        <v>45933</v>
      </c>
    </row>
    <row r="929" spans="1:1" x14ac:dyDescent="0.25">
      <c r="A929" s="4">
        <v>45936</v>
      </c>
    </row>
    <row r="930" spans="1:1" x14ac:dyDescent="0.25">
      <c r="A930" s="4">
        <v>45937</v>
      </c>
    </row>
    <row r="931" spans="1:1" x14ac:dyDescent="0.25">
      <c r="A931" s="4">
        <v>45938</v>
      </c>
    </row>
    <row r="932" spans="1:1" x14ac:dyDescent="0.25">
      <c r="A932" s="4">
        <v>45939</v>
      </c>
    </row>
    <row r="933" spans="1:1" x14ac:dyDescent="0.25">
      <c r="A933" s="4">
        <v>45940</v>
      </c>
    </row>
    <row r="934" spans="1:1" x14ac:dyDescent="0.25">
      <c r="A934" s="4">
        <v>45943</v>
      </c>
    </row>
    <row r="935" spans="1:1" x14ac:dyDescent="0.25">
      <c r="A935" s="4">
        <v>45944</v>
      </c>
    </row>
    <row r="936" spans="1:1" x14ac:dyDescent="0.25">
      <c r="A936" s="4">
        <v>45945</v>
      </c>
    </row>
    <row r="937" spans="1:1" x14ac:dyDescent="0.25">
      <c r="A937" s="4">
        <v>45946</v>
      </c>
    </row>
    <row r="938" spans="1:1" x14ac:dyDescent="0.25">
      <c r="A938" s="4">
        <v>45947</v>
      </c>
    </row>
    <row r="939" spans="1:1" x14ac:dyDescent="0.25">
      <c r="A939" s="4">
        <v>45950</v>
      </c>
    </row>
    <row r="940" spans="1:1" x14ac:dyDescent="0.25">
      <c r="A940" s="4">
        <v>45951</v>
      </c>
    </row>
    <row r="941" spans="1:1" x14ac:dyDescent="0.25">
      <c r="A941" s="4">
        <v>45952</v>
      </c>
    </row>
    <row r="942" spans="1:1" x14ac:dyDescent="0.25">
      <c r="A942" s="4">
        <v>45953</v>
      </c>
    </row>
    <row r="943" spans="1:1" x14ac:dyDescent="0.25">
      <c r="A943" s="4">
        <v>45954</v>
      </c>
    </row>
    <row r="944" spans="1:1" x14ac:dyDescent="0.25">
      <c r="A944" s="4">
        <v>45957</v>
      </c>
    </row>
    <row r="945" spans="1:1" x14ac:dyDescent="0.25">
      <c r="A945" s="4">
        <v>45958</v>
      </c>
    </row>
    <row r="946" spans="1:1" x14ac:dyDescent="0.25">
      <c r="A946" s="4">
        <v>45959</v>
      </c>
    </row>
    <row r="947" spans="1:1" x14ac:dyDescent="0.25">
      <c r="A947" s="4">
        <v>45960</v>
      </c>
    </row>
    <row r="948" spans="1:1" x14ac:dyDescent="0.25">
      <c r="A948" s="4">
        <v>45961</v>
      </c>
    </row>
    <row r="949" spans="1:1" x14ac:dyDescent="0.25">
      <c r="A949" s="4">
        <v>45964</v>
      </c>
    </row>
    <row r="950" spans="1:1" x14ac:dyDescent="0.25">
      <c r="A950" s="4">
        <v>45965</v>
      </c>
    </row>
    <row r="951" spans="1:1" x14ac:dyDescent="0.25">
      <c r="A951" s="4">
        <v>45966</v>
      </c>
    </row>
    <row r="952" spans="1:1" x14ac:dyDescent="0.25">
      <c r="A952" s="4">
        <v>45967</v>
      </c>
    </row>
    <row r="953" spans="1:1" x14ac:dyDescent="0.25">
      <c r="A953" s="4">
        <v>45968</v>
      </c>
    </row>
    <row r="954" spans="1:1" x14ac:dyDescent="0.25">
      <c r="A954" s="4">
        <v>45971</v>
      </c>
    </row>
    <row r="955" spans="1:1" x14ac:dyDescent="0.25">
      <c r="A955" s="4">
        <v>45972</v>
      </c>
    </row>
    <row r="956" spans="1:1" x14ac:dyDescent="0.25">
      <c r="A956" s="4">
        <v>45973</v>
      </c>
    </row>
    <row r="957" spans="1:1" x14ac:dyDescent="0.25">
      <c r="A957" s="4">
        <v>45974</v>
      </c>
    </row>
    <row r="958" spans="1:1" x14ac:dyDescent="0.25">
      <c r="A958" s="4">
        <v>45975</v>
      </c>
    </row>
    <row r="959" spans="1:1" x14ac:dyDescent="0.25">
      <c r="A959" s="4">
        <v>45978</v>
      </c>
    </row>
    <row r="960" spans="1:1" x14ac:dyDescent="0.25">
      <c r="A960" s="4">
        <v>45979</v>
      </c>
    </row>
    <row r="961" spans="1:1" x14ac:dyDescent="0.25">
      <c r="A961" s="4">
        <v>45980</v>
      </c>
    </row>
    <row r="962" spans="1:1" x14ac:dyDescent="0.25">
      <c r="A962" s="4">
        <v>45981</v>
      </c>
    </row>
    <row r="963" spans="1:1" x14ac:dyDescent="0.25">
      <c r="A963" s="4">
        <v>45982</v>
      </c>
    </row>
    <row r="964" spans="1:1" x14ac:dyDescent="0.25">
      <c r="A964" s="4">
        <v>45985</v>
      </c>
    </row>
    <row r="965" spans="1:1" x14ac:dyDescent="0.25">
      <c r="A965" s="4">
        <v>45986</v>
      </c>
    </row>
    <row r="966" spans="1:1" x14ac:dyDescent="0.25">
      <c r="A966" s="4">
        <v>45987</v>
      </c>
    </row>
    <row r="967" spans="1:1" x14ac:dyDescent="0.25">
      <c r="A967" s="4">
        <v>45988</v>
      </c>
    </row>
    <row r="968" spans="1:1" x14ac:dyDescent="0.25">
      <c r="A968" s="4">
        <v>45989</v>
      </c>
    </row>
    <row r="969" spans="1:1" x14ac:dyDescent="0.25">
      <c r="A969" s="4">
        <v>45992</v>
      </c>
    </row>
    <row r="970" spans="1:1" x14ac:dyDescent="0.25">
      <c r="A970" s="4">
        <v>45993</v>
      </c>
    </row>
    <row r="971" spans="1:1" x14ac:dyDescent="0.25">
      <c r="A971" s="4">
        <v>45994</v>
      </c>
    </row>
    <row r="972" spans="1:1" x14ac:dyDescent="0.25">
      <c r="A972" s="4">
        <v>45995</v>
      </c>
    </row>
    <row r="973" spans="1:1" x14ac:dyDescent="0.25">
      <c r="A973" s="4">
        <v>45996</v>
      </c>
    </row>
    <row r="974" spans="1:1" x14ac:dyDescent="0.25">
      <c r="A974" s="4">
        <v>45999</v>
      </c>
    </row>
    <row r="975" spans="1:1" x14ac:dyDescent="0.25">
      <c r="A975" s="4">
        <v>46000</v>
      </c>
    </row>
    <row r="976" spans="1:1" x14ac:dyDescent="0.25">
      <c r="A976" s="4">
        <v>46001</v>
      </c>
    </row>
    <row r="977" spans="1:1" x14ac:dyDescent="0.25">
      <c r="A977" s="4">
        <v>46002</v>
      </c>
    </row>
    <row r="978" spans="1:1" x14ac:dyDescent="0.25">
      <c r="A978" s="4">
        <v>46003</v>
      </c>
    </row>
    <row r="979" spans="1:1" x14ac:dyDescent="0.25">
      <c r="A979" s="4">
        <v>46006</v>
      </c>
    </row>
    <row r="980" spans="1:1" x14ac:dyDescent="0.25">
      <c r="A980" s="4">
        <v>46007</v>
      </c>
    </row>
    <row r="981" spans="1:1" x14ac:dyDescent="0.25">
      <c r="A981" s="4">
        <v>46008</v>
      </c>
    </row>
    <row r="982" spans="1:1" x14ac:dyDescent="0.25">
      <c r="A982" s="4">
        <v>46009</v>
      </c>
    </row>
    <row r="983" spans="1:1" x14ac:dyDescent="0.25">
      <c r="A983" s="4">
        <v>46010</v>
      </c>
    </row>
    <row r="984" spans="1:1" x14ac:dyDescent="0.25">
      <c r="A984" s="4">
        <v>46013</v>
      </c>
    </row>
    <row r="985" spans="1:1" x14ac:dyDescent="0.25">
      <c r="A985" s="4">
        <v>46014</v>
      </c>
    </row>
    <row r="986" spans="1:1" x14ac:dyDescent="0.25">
      <c r="A986" s="4">
        <v>46015</v>
      </c>
    </row>
    <row r="987" spans="1:1" x14ac:dyDescent="0.25">
      <c r="A987" s="4">
        <v>46016</v>
      </c>
    </row>
    <row r="988" spans="1:1" x14ac:dyDescent="0.25">
      <c r="A988" s="4">
        <v>46017</v>
      </c>
    </row>
    <row r="989" spans="1:1" x14ac:dyDescent="0.25">
      <c r="A989" s="4">
        <v>46020</v>
      </c>
    </row>
    <row r="990" spans="1:1" x14ac:dyDescent="0.25">
      <c r="A990" s="4">
        <v>46021</v>
      </c>
    </row>
    <row r="991" spans="1:1" x14ac:dyDescent="0.25">
      <c r="A991" s="4">
        <v>46022</v>
      </c>
    </row>
    <row r="992" spans="1:1" x14ac:dyDescent="0.25">
      <c r="A992" s="4">
        <v>46023</v>
      </c>
    </row>
    <row r="993" spans="1:1" x14ac:dyDescent="0.25">
      <c r="A993" s="4">
        <v>46024</v>
      </c>
    </row>
    <row r="994" spans="1:1" x14ac:dyDescent="0.25">
      <c r="A994" s="4">
        <v>46027</v>
      </c>
    </row>
    <row r="995" spans="1:1" x14ac:dyDescent="0.25">
      <c r="A995" s="4">
        <v>46028</v>
      </c>
    </row>
    <row r="996" spans="1:1" x14ac:dyDescent="0.25">
      <c r="A996" s="4">
        <v>46029</v>
      </c>
    </row>
    <row r="997" spans="1:1" x14ac:dyDescent="0.25">
      <c r="A997" s="4">
        <v>46030</v>
      </c>
    </row>
    <row r="998" spans="1:1" x14ac:dyDescent="0.25">
      <c r="A998" s="4">
        <v>46031</v>
      </c>
    </row>
    <row r="999" spans="1:1" x14ac:dyDescent="0.25">
      <c r="A999" s="4">
        <v>46034</v>
      </c>
    </row>
    <row r="1000" spans="1:1" x14ac:dyDescent="0.25">
      <c r="A1000" s="4">
        <v>46035</v>
      </c>
    </row>
    <row r="1001" spans="1:1" x14ac:dyDescent="0.25">
      <c r="A1001" s="4">
        <v>46036</v>
      </c>
    </row>
    <row r="1002" spans="1:1" x14ac:dyDescent="0.25">
      <c r="A1002" s="4">
        <v>46037</v>
      </c>
    </row>
    <row r="1003" spans="1:1" x14ac:dyDescent="0.25">
      <c r="A1003" s="4">
        <v>46038</v>
      </c>
    </row>
    <row r="1004" spans="1:1" x14ac:dyDescent="0.25">
      <c r="A1004" s="4">
        <v>46041</v>
      </c>
    </row>
    <row r="1005" spans="1:1" x14ac:dyDescent="0.25">
      <c r="A1005" s="4">
        <v>46042</v>
      </c>
    </row>
    <row r="1006" spans="1:1" x14ac:dyDescent="0.25">
      <c r="A1006" s="4">
        <v>46043</v>
      </c>
    </row>
    <row r="1007" spans="1:1" x14ac:dyDescent="0.25">
      <c r="A1007" s="4">
        <v>46044</v>
      </c>
    </row>
    <row r="1008" spans="1:1" x14ac:dyDescent="0.25">
      <c r="A1008" s="4">
        <v>46045</v>
      </c>
    </row>
    <row r="1009" spans="1:1" x14ac:dyDescent="0.25">
      <c r="A1009" s="4">
        <v>46048</v>
      </c>
    </row>
    <row r="1010" spans="1:1" x14ac:dyDescent="0.25">
      <c r="A1010" s="4">
        <v>46049</v>
      </c>
    </row>
    <row r="1011" spans="1:1" x14ac:dyDescent="0.25">
      <c r="A1011" s="4">
        <v>46050</v>
      </c>
    </row>
    <row r="1012" spans="1:1" x14ac:dyDescent="0.25">
      <c r="A1012" s="4">
        <v>46051</v>
      </c>
    </row>
    <row r="1013" spans="1:1" x14ac:dyDescent="0.25">
      <c r="A1013" s="4">
        <v>46052</v>
      </c>
    </row>
    <row r="1014" spans="1:1" x14ac:dyDescent="0.25">
      <c r="A1014" s="4">
        <v>46055</v>
      </c>
    </row>
    <row r="1015" spans="1:1" x14ac:dyDescent="0.25">
      <c r="A1015" s="4">
        <v>46056</v>
      </c>
    </row>
    <row r="1016" spans="1:1" x14ac:dyDescent="0.25">
      <c r="A1016" s="4">
        <v>46057</v>
      </c>
    </row>
    <row r="1017" spans="1:1" x14ac:dyDescent="0.25">
      <c r="A1017" s="4">
        <v>46058</v>
      </c>
    </row>
    <row r="1018" spans="1:1" x14ac:dyDescent="0.25">
      <c r="A1018" s="4">
        <v>46059</v>
      </c>
    </row>
    <row r="1019" spans="1:1" x14ac:dyDescent="0.25">
      <c r="A1019" s="4">
        <v>46062</v>
      </c>
    </row>
    <row r="1020" spans="1:1" x14ac:dyDescent="0.25">
      <c r="A1020" s="4">
        <v>46063</v>
      </c>
    </row>
    <row r="1021" spans="1:1" x14ac:dyDescent="0.25">
      <c r="A1021" s="4">
        <v>46064</v>
      </c>
    </row>
    <row r="1022" spans="1:1" x14ac:dyDescent="0.25">
      <c r="A1022" s="4">
        <v>46065</v>
      </c>
    </row>
    <row r="1023" spans="1:1" x14ac:dyDescent="0.25">
      <c r="A1023" s="4">
        <v>46066</v>
      </c>
    </row>
    <row r="1024" spans="1:1" x14ac:dyDescent="0.25">
      <c r="A1024" s="4">
        <v>46069</v>
      </c>
    </row>
    <row r="1025" spans="1:1" x14ac:dyDescent="0.25">
      <c r="A1025" s="4">
        <v>46070</v>
      </c>
    </row>
    <row r="1026" spans="1:1" x14ac:dyDescent="0.25">
      <c r="A1026" s="4">
        <v>46071</v>
      </c>
    </row>
    <row r="1027" spans="1:1" x14ac:dyDescent="0.25">
      <c r="A1027" s="4">
        <v>46072</v>
      </c>
    </row>
    <row r="1028" spans="1:1" x14ac:dyDescent="0.25">
      <c r="A1028" s="4">
        <v>46073</v>
      </c>
    </row>
    <row r="1029" spans="1:1" x14ac:dyDescent="0.25">
      <c r="A1029" s="4">
        <v>46076</v>
      </c>
    </row>
    <row r="1030" spans="1:1" x14ac:dyDescent="0.25">
      <c r="A1030" s="4">
        <v>46077</v>
      </c>
    </row>
    <row r="1031" spans="1:1" x14ac:dyDescent="0.25">
      <c r="A1031" s="4">
        <v>46078</v>
      </c>
    </row>
    <row r="1032" spans="1:1" x14ac:dyDescent="0.25">
      <c r="A1032" s="4">
        <v>46079</v>
      </c>
    </row>
    <row r="1033" spans="1:1" x14ac:dyDescent="0.25">
      <c r="A1033" s="4">
        <v>46080</v>
      </c>
    </row>
    <row r="1034" spans="1:1" x14ac:dyDescent="0.25">
      <c r="A1034" s="4">
        <v>46083</v>
      </c>
    </row>
    <row r="1035" spans="1:1" x14ac:dyDescent="0.25">
      <c r="A1035" s="4">
        <v>46084</v>
      </c>
    </row>
    <row r="1036" spans="1:1" x14ac:dyDescent="0.25">
      <c r="A1036" s="4">
        <v>46085</v>
      </c>
    </row>
    <row r="1037" spans="1:1" x14ac:dyDescent="0.25">
      <c r="A1037" s="4">
        <v>46086</v>
      </c>
    </row>
    <row r="1038" spans="1:1" x14ac:dyDescent="0.25">
      <c r="A1038" s="4">
        <v>46087</v>
      </c>
    </row>
    <row r="1039" spans="1:1" x14ac:dyDescent="0.25">
      <c r="A1039" s="4">
        <v>46090</v>
      </c>
    </row>
    <row r="1040" spans="1:1" x14ac:dyDescent="0.25">
      <c r="A1040" s="4">
        <v>46091</v>
      </c>
    </row>
    <row r="1041" spans="1:1" x14ac:dyDescent="0.25">
      <c r="A1041" s="4">
        <v>46092</v>
      </c>
    </row>
    <row r="1042" spans="1:1" x14ac:dyDescent="0.25">
      <c r="A1042" s="4">
        <v>46093</v>
      </c>
    </row>
    <row r="1043" spans="1:1" x14ac:dyDescent="0.25">
      <c r="A1043" s="4">
        <v>46094</v>
      </c>
    </row>
    <row r="1044" spans="1:1" x14ac:dyDescent="0.25">
      <c r="A1044" s="4">
        <v>46097</v>
      </c>
    </row>
    <row r="1045" spans="1:1" x14ac:dyDescent="0.25">
      <c r="A1045" s="4">
        <v>46098</v>
      </c>
    </row>
    <row r="1046" spans="1:1" x14ac:dyDescent="0.25">
      <c r="A1046" s="4">
        <v>46099</v>
      </c>
    </row>
    <row r="1047" spans="1:1" x14ac:dyDescent="0.25">
      <c r="A1047" s="4">
        <v>46100</v>
      </c>
    </row>
    <row r="1048" spans="1:1" x14ac:dyDescent="0.25">
      <c r="A1048" s="4">
        <v>46101</v>
      </c>
    </row>
    <row r="1049" spans="1:1" x14ac:dyDescent="0.25">
      <c r="A1049" s="4">
        <v>46104</v>
      </c>
    </row>
    <row r="1050" spans="1:1" x14ac:dyDescent="0.25">
      <c r="A1050" s="4">
        <v>46105</v>
      </c>
    </row>
    <row r="1051" spans="1:1" x14ac:dyDescent="0.25">
      <c r="A1051" s="4">
        <v>46106</v>
      </c>
    </row>
    <row r="1052" spans="1:1" x14ac:dyDescent="0.25">
      <c r="A1052" s="4">
        <v>46107</v>
      </c>
    </row>
    <row r="1053" spans="1:1" x14ac:dyDescent="0.25">
      <c r="A1053" s="4">
        <v>46108</v>
      </c>
    </row>
    <row r="1054" spans="1:1" x14ac:dyDescent="0.25">
      <c r="A1054" s="4">
        <v>46111</v>
      </c>
    </row>
    <row r="1055" spans="1:1" x14ac:dyDescent="0.25">
      <c r="A1055" s="4">
        <v>46112</v>
      </c>
    </row>
    <row r="1056" spans="1:1" x14ac:dyDescent="0.25">
      <c r="A1056" s="4">
        <v>46113</v>
      </c>
    </row>
    <row r="1057" spans="1:1" x14ac:dyDescent="0.25">
      <c r="A1057" s="4">
        <v>46114</v>
      </c>
    </row>
    <row r="1058" spans="1:1" x14ac:dyDescent="0.25">
      <c r="A1058" s="4">
        <v>46115</v>
      </c>
    </row>
    <row r="1059" spans="1:1" x14ac:dyDescent="0.25">
      <c r="A1059" s="4">
        <v>46118</v>
      </c>
    </row>
    <row r="1060" spans="1:1" x14ac:dyDescent="0.25">
      <c r="A1060" s="4">
        <v>46119</v>
      </c>
    </row>
    <row r="1061" spans="1:1" x14ac:dyDescent="0.25">
      <c r="A1061" s="4">
        <v>46120</v>
      </c>
    </row>
    <row r="1062" spans="1:1" x14ac:dyDescent="0.25">
      <c r="A1062" s="4">
        <v>46121</v>
      </c>
    </row>
    <row r="1063" spans="1:1" x14ac:dyDescent="0.25">
      <c r="A1063" s="4">
        <v>46122</v>
      </c>
    </row>
    <row r="1064" spans="1:1" x14ac:dyDescent="0.25">
      <c r="A1064" s="4">
        <v>46125</v>
      </c>
    </row>
    <row r="1065" spans="1:1" x14ac:dyDescent="0.25">
      <c r="A1065" s="4">
        <v>46126</v>
      </c>
    </row>
    <row r="1066" spans="1:1" x14ac:dyDescent="0.25">
      <c r="A1066" s="4">
        <v>46127</v>
      </c>
    </row>
    <row r="1067" spans="1:1" x14ac:dyDescent="0.25">
      <c r="A1067" s="4">
        <v>46128</v>
      </c>
    </row>
    <row r="1068" spans="1:1" x14ac:dyDescent="0.25">
      <c r="A1068" s="4">
        <v>46129</v>
      </c>
    </row>
    <row r="1069" spans="1:1" x14ac:dyDescent="0.25">
      <c r="A1069" s="4">
        <v>46132</v>
      </c>
    </row>
    <row r="1070" spans="1:1" x14ac:dyDescent="0.25">
      <c r="A1070" s="4">
        <v>46133</v>
      </c>
    </row>
    <row r="1071" spans="1:1" x14ac:dyDescent="0.25">
      <c r="A1071" s="4">
        <v>46134</v>
      </c>
    </row>
    <row r="1072" spans="1:1" x14ac:dyDescent="0.25">
      <c r="A1072" s="4">
        <v>46135</v>
      </c>
    </row>
    <row r="1073" spans="1:1" x14ac:dyDescent="0.25">
      <c r="A1073" s="4">
        <v>46136</v>
      </c>
    </row>
    <row r="1074" spans="1:1" x14ac:dyDescent="0.25">
      <c r="A1074" s="4">
        <v>46139</v>
      </c>
    </row>
    <row r="1075" spans="1:1" x14ac:dyDescent="0.25">
      <c r="A1075" s="4">
        <v>46140</v>
      </c>
    </row>
    <row r="1076" spans="1:1" x14ac:dyDescent="0.25">
      <c r="A1076" s="4">
        <v>46141</v>
      </c>
    </row>
    <row r="1077" spans="1:1" x14ac:dyDescent="0.25">
      <c r="A1077" s="4">
        <v>46142</v>
      </c>
    </row>
    <row r="1078" spans="1:1" x14ac:dyDescent="0.25">
      <c r="A1078" s="4">
        <v>46143</v>
      </c>
    </row>
    <row r="1079" spans="1:1" x14ac:dyDescent="0.25">
      <c r="A1079" s="4">
        <v>46146</v>
      </c>
    </row>
    <row r="1080" spans="1:1" x14ac:dyDescent="0.25">
      <c r="A1080" s="4">
        <v>46147</v>
      </c>
    </row>
    <row r="1081" spans="1:1" x14ac:dyDescent="0.25">
      <c r="A1081" s="4">
        <v>46148</v>
      </c>
    </row>
    <row r="1082" spans="1:1" x14ac:dyDescent="0.25">
      <c r="A1082" s="4">
        <v>46149</v>
      </c>
    </row>
    <row r="1083" spans="1:1" x14ac:dyDescent="0.25">
      <c r="A1083" s="4">
        <v>46150</v>
      </c>
    </row>
    <row r="1084" spans="1:1" x14ac:dyDescent="0.25">
      <c r="A1084" s="4">
        <v>46153</v>
      </c>
    </row>
    <row r="1085" spans="1:1" x14ac:dyDescent="0.25">
      <c r="A1085" s="4">
        <v>46154</v>
      </c>
    </row>
    <row r="1086" spans="1:1" x14ac:dyDescent="0.25">
      <c r="A1086" s="4">
        <v>46155</v>
      </c>
    </row>
    <row r="1087" spans="1:1" x14ac:dyDescent="0.25">
      <c r="A1087" s="4">
        <v>46156</v>
      </c>
    </row>
    <row r="1088" spans="1:1" x14ac:dyDescent="0.25">
      <c r="A1088" s="4">
        <v>46157</v>
      </c>
    </row>
    <row r="1089" spans="1:1" x14ac:dyDescent="0.25">
      <c r="A1089" s="4">
        <v>46160</v>
      </c>
    </row>
    <row r="1090" spans="1:1" x14ac:dyDescent="0.25">
      <c r="A1090" s="4">
        <v>46161</v>
      </c>
    </row>
    <row r="1091" spans="1:1" x14ac:dyDescent="0.25">
      <c r="A1091" s="4">
        <v>46162</v>
      </c>
    </row>
    <row r="1092" spans="1:1" x14ac:dyDescent="0.25">
      <c r="A1092" s="4">
        <v>46163</v>
      </c>
    </row>
    <row r="1093" spans="1:1" x14ac:dyDescent="0.25">
      <c r="A1093" s="4">
        <v>46164</v>
      </c>
    </row>
    <row r="1094" spans="1:1" x14ac:dyDescent="0.25">
      <c r="A1094" s="4">
        <v>46167</v>
      </c>
    </row>
    <row r="1095" spans="1:1" x14ac:dyDescent="0.25">
      <c r="A1095" s="4">
        <v>46168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9" sqref="E9"/>
    </sheetView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中证500</vt:lpstr>
      <vt:lpstr>中证1000</vt:lpstr>
      <vt:lpstr>Single</vt:lpstr>
      <vt:lpstr>观察日</vt:lpstr>
      <vt:lpstr>trading_days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2023-03-22T08:59:55Z</dcterms:modified>
</cp:coreProperties>
</file>