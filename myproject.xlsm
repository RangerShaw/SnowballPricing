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DD4529CA-81E5-4D7E-9759-B8B0B294511B}" xr6:coauthVersionLast="47" xr6:coauthVersionMax="47" xr10:uidLastSave="{00000000-0000-0000-0000-000000000000}"/>
  <bookViews>
    <workbookView xWindow="-108" yWindow="-108" windowWidth="23256" windowHeight="12576" tabRatio="500" activeTab="4" xr2:uid="{00000000-000D-0000-FFFF-FFFF00000000}"/>
  </bookViews>
  <sheets>
    <sheet name="中证500" sheetId="4" r:id="rId1"/>
    <sheet name="中证1000" sheetId="6" r:id="rId2"/>
    <sheet name="trading_days" sheetId="3" r:id="rId3"/>
    <sheet name="_xlwings.conf" sheetId="2" r:id="rId4"/>
    <sheet name="Single" sheetId="1" r:id="rId5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8" i="1" l="1"/>
  <c r="I37" i="1"/>
  <c r="J37" i="1"/>
  <c r="J36" i="1"/>
  <c r="I36" i="1"/>
  <c r="J25" i="1"/>
  <c r="J26" i="1"/>
  <c r="J27" i="1"/>
  <c r="J28" i="1"/>
  <c r="J29" i="1"/>
  <c r="J30" i="1"/>
  <c r="J31" i="1"/>
  <c r="J32" i="1"/>
  <c r="J33" i="1"/>
  <c r="J34" i="1"/>
  <c r="J35" i="1"/>
  <c r="J24" i="1"/>
  <c r="F7" i="1" l="1"/>
  <c r="H13" i="1"/>
  <c r="H15" i="1" s="1"/>
  <c r="I15" i="1" s="1"/>
</calcChain>
</file>

<file path=xl/sharedStrings.xml><?xml version="1.0" encoding="utf-8"?>
<sst xmlns="http://schemas.openxmlformats.org/spreadsheetml/2006/main" count="87" uniqueCount="47">
  <si>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</si>
  <si>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</si>
  <si>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</si>
  <si>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</si>
  <si>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</si>
  <si>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</si>
  <si>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</si>
  <si>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</si>
  <si>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</si>
  <si>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</si>
  <si>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</si>
  <si>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</si>
  <si>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</si>
  <si>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</si>
  <si>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</si>
  <si>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</si>
  <si>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</si>
  <si>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</si>
  <si>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</si>
  <si>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</si>
  <si>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</si>
  <si>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</si>
  <si>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</si>
  <si>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</si>
  <si>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</si>
  <si>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</si>
  <si>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</si>
  <si>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</si>
  <si>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M2M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</si>
  <si>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</si>
  <si>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</si>
  <si>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</si>
  <si>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</si>
  <si>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</si>
  <si>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起止日须为交易日，终止日的日数应不早于起始日的日数</t>
    <phoneticPr fontId="3" type="noConversion"/>
  </si>
  <si>
    <t>是</t>
  </si>
  <si>
    <t>是</t>
    <phoneticPr fontId="3" type="noConversion"/>
  </si>
  <si>
    <t xml:space="preserve"> </t>
    <phoneticPr fontId="3" type="noConversion"/>
  </si>
  <si>
    <t>需估值</t>
    <phoneticPr fontId="3" type="noConversion"/>
  </si>
  <si>
    <t>否</t>
    <phoneticPr fontId="3" type="noConversion"/>
  </si>
  <si>
    <t>冷静期（月）</t>
    <phoneticPr fontId="3" type="noConversion"/>
  </si>
  <si>
    <t>SUM</t>
    <phoneticPr fontId="3" type="noConversion"/>
  </si>
  <si>
    <t>敲出月数</t>
    <phoneticPr fontId="3" type="noConversion"/>
  </si>
  <si>
    <t>路径数</t>
    <phoneticPr fontId="3" type="noConversion"/>
  </si>
  <si>
    <t>相乘</t>
    <phoneticPr fontId="3" type="noConversion"/>
  </si>
  <si>
    <t>平均存续月数</t>
    <phoneticPr fontId="3" type="noConversion"/>
  </si>
  <si>
    <t>12(未敲出)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</si>
</sst>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 * #,##0_ ;_ * \-#,##0_ ;_ * &quot;-&quot;??_ ;_ @_ "/>
    <numFmt numFmtId="177" formatCode="0.00000"/>
    <numFmt numFmtId="178" formatCode="0.0%"/>
    <numFmt numFmtId="179" formatCode="0.000%"/>
  </numFmts>
  <fonts count="12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/>
    </xf>
    <xf numFmtId="2" fontId="0" fillId="0" borderId="0" xfId="0" applyNumberForma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177" fontId="0" fillId="0" borderId="0" xfId="0" applyNumberFormat="1"/>
    <xf numFmtId="10" fontId="0" fillId="0" borderId="0" xfId="0" applyNumberFormat="1"/>
    <xf numFmtId="178" fontId="0" fillId="0" borderId="0" xfId="0" applyNumberFormat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179" fontId="0" fillId="0" borderId="0" xfId="2" applyNumberFormat="1" applyFont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12</xdr:row>
          <xdr:rowOff>15240</xdr:rowOff>
        </xdr:from>
        <xdr:to>
          <xdr:col>11</xdr:col>
          <xdr:colOff>137160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12</xdr:row>
          <xdr:rowOff>22860</xdr:rowOff>
        </xdr:from>
        <xdr:to>
          <xdr:col>11</xdr:col>
          <xdr:colOff>53340</xdr:colOff>
          <xdr:row>13</xdr:row>
          <xdr:rowOff>160020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zoomScale="85" zoomScaleNormal="85" workbookViewId="0">
      <selection activeCell="F21" sqref="F21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8" bestFit="1" customWidth="1"/>
    <col min="10" max="10" width="23.3984375" customWidth="1"/>
    <col min="11" max="11" width="14.3984375" customWidth="1"/>
  </cols>
  <sheetData>
    <row r="2" spans="1:11" x14ac:dyDescent="0.25">
      <c r="B2" s="20" t="s">
        <v>15</v>
      </c>
      <c r="C2" s="20"/>
      <c r="D2" s="3"/>
    </row>
    <row r="3" spans="1:11" x14ac:dyDescent="0.25">
      <c r="B3" s="14" t="s">
        <v>17</v>
      </c>
      <c r="C3" s="4">
        <v>44993</v>
      </c>
      <c r="F3" s="5"/>
    </row>
    <row r="4" spans="1:11" x14ac:dyDescent="0.25">
      <c r="B4" s="14" t="s">
        <v>18</v>
      </c>
      <c r="C4">
        <v>1813</v>
      </c>
      <c r="F4" s="5"/>
    </row>
    <row r="5" spans="1:11" x14ac:dyDescent="0.25">
      <c r="B5" s="14" t="s">
        <v>19</v>
      </c>
      <c r="C5">
        <v>0.13</v>
      </c>
    </row>
    <row r="6" spans="1:11" x14ac:dyDescent="0.25">
      <c r="B6" s="14" t="s">
        <v>20</v>
      </c>
      <c r="C6">
        <v>3.5000000000000003E-2</v>
      </c>
    </row>
    <row r="7" spans="1:11" x14ac:dyDescent="0.25">
      <c r="B7" s="14" t="s">
        <v>21</v>
      </c>
      <c r="C7">
        <v>1.4999999999999999E-2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1" t="s">
        <v>31</v>
      </c>
      <c r="C14" s="21"/>
      <c r="D14" s="21"/>
      <c r="E14" s="21"/>
      <c r="F14" s="21"/>
      <c r="G14" s="21"/>
      <c r="H14" s="21"/>
      <c r="I14" s="21"/>
      <c r="J14" s="21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38</v>
      </c>
      <c r="J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s="3" t="s">
        <v>36</v>
      </c>
      <c r="J16" t="s">
        <v>33</v>
      </c>
      <c r="K16" s="17">
        <v>-24358.710918904748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s="3" t="s">
        <v>39</v>
      </c>
      <c r="J17" t="s">
        <v>33</v>
      </c>
      <c r="K17" s="17"/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s="3" t="s">
        <v>35</v>
      </c>
      <c r="J18" t="s">
        <v>33</v>
      </c>
      <c r="K18" s="17">
        <v>-24307.378213788528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s="3" t="s">
        <v>36</v>
      </c>
      <c r="J19" t="s">
        <v>33</v>
      </c>
      <c r="K19" s="17">
        <v>-24358.710918904748</v>
      </c>
    </row>
    <row r="20" spans="1:11" x14ac:dyDescent="0.25">
      <c r="C20" s="4">
        <v>44993</v>
      </c>
      <c r="D20" s="4">
        <v>45359</v>
      </c>
      <c r="E20">
        <v>2.6499999999999999E-2</v>
      </c>
      <c r="F20">
        <v>4.8500000000000001E-2</v>
      </c>
      <c r="G20">
        <v>1813</v>
      </c>
      <c r="H20" s="6">
        <v>1000000</v>
      </c>
      <c r="I20" s="3" t="s">
        <v>36</v>
      </c>
      <c r="J20" t="s">
        <v>33</v>
      </c>
      <c r="K20">
        <v>-147.354517819162</v>
      </c>
    </row>
    <row r="21" spans="1:11" x14ac:dyDescent="0.25">
      <c r="J21" t="s">
        <v>37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J14"/>
  </mergeCells>
  <phoneticPr fontId="3" type="noConversion"/>
  <dataValidations count="1">
    <dataValidation type="list" allowBlank="1" showInputMessage="1" showErrorMessage="1" sqref="I16:I20" xr:uid="{A0F2F6B9-D8C1-4B45-82EA-F511D4A40DB5}">
      <formula1>"是,否"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10</xdr:col>
                    <xdr:colOff>38100</xdr:colOff>
                    <xdr:row>12</xdr:row>
                    <xdr:rowOff>15240</xdr:rowOff>
                  </from>
                  <to>
                    <xdr:col>11</xdr:col>
                    <xdr:colOff>137160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9031-C6D9-43DB-B0D2-7052513C88EE}">
  <sheetPr codeName="Sheet5"/>
  <dimension ref="A2:K37"/>
  <sheetViews>
    <sheetView zoomScale="85" zoomScaleNormal="85" workbookViewId="0">
      <selection activeCell="C54" sqref="C54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23.3984375" customWidth="1"/>
    <col min="10" max="10" width="3.8984375" customWidth="1"/>
    <col min="11" max="11" width="12.296875" bestFit="1" customWidth="1"/>
  </cols>
  <sheetData>
    <row r="2" spans="1:11" x14ac:dyDescent="0.25">
      <c r="B2" s="20" t="s">
        <v>15</v>
      </c>
      <c r="C2" s="20"/>
      <c r="D2" s="3"/>
    </row>
    <row r="3" spans="1:11" x14ac:dyDescent="0.25">
      <c r="B3" s="14" t="s">
        <v>17</v>
      </c>
      <c r="C3" s="4">
        <v>44931</v>
      </c>
      <c r="F3" s="5"/>
    </row>
    <row r="4" spans="1:11" x14ac:dyDescent="0.25">
      <c r="B4" s="14" t="s">
        <v>18</v>
      </c>
      <c r="C4">
        <v>5980</v>
      </c>
      <c r="F4" s="5"/>
    </row>
    <row r="5" spans="1:11" x14ac:dyDescent="0.25">
      <c r="B5" s="14" t="s">
        <v>19</v>
      </c>
      <c r="C5">
        <v>0.2</v>
      </c>
    </row>
    <row r="6" spans="1:11" x14ac:dyDescent="0.25">
      <c r="B6" s="14" t="s">
        <v>20</v>
      </c>
      <c r="C6">
        <v>2.35E-2</v>
      </c>
    </row>
    <row r="7" spans="1:11" x14ac:dyDescent="0.25">
      <c r="B7" s="14" t="s">
        <v>21</v>
      </c>
      <c r="C7">
        <v>0.05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1" t="s">
        <v>31</v>
      </c>
      <c r="C14" s="21"/>
      <c r="D14" s="21"/>
      <c r="E14" s="21"/>
      <c r="F14" s="21"/>
      <c r="G14" s="21"/>
      <c r="H14" s="21"/>
      <c r="I14" s="21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33</v>
      </c>
      <c r="K16" s="17">
        <v>2423.8258036085649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33</v>
      </c>
      <c r="K17" s="17">
        <v>205.02487404839755</v>
      </c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33</v>
      </c>
      <c r="K18" s="17">
        <v>1166.1215156208295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33</v>
      </c>
      <c r="K19" s="17">
        <v>2212.4119890010006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251460</xdr:colOff>
                    <xdr:row>12</xdr:row>
                    <xdr:rowOff>22860</xdr:rowOff>
                  </from>
                  <to>
                    <xdr:col>11</xdr:col>
                    <xdr:colOff>53340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3"/>
  <sheetViews>
    <sheetView topLeftCell="A547" workbookViewId="0">
      <selection activeCell="G584" sqref="G584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45050</v>
      </c>
    </row>
    <row r="322" spans="1:1" x14ac:dyDescent="0.25">
      <c r="A322" s="4">
        <v>45051</v>
      </c>
    </row>
    <row r="323" spans="1:1" x14ac:dyDescent="0.25">
      <c r="A323" s="4">
        <v>45054</v>
      </c>
    </row>
    <row r="324" spans="1:1" x14ac:dyDescent="0.25">
      <c r="A324" s="4">
        <v>45055</v>
      </c>
    </row>
    <row r="325" spans="1:1" x14ac:dyDescent="0.25">
      <c r="A325" s="4">
        <v>45056</v>
      </c>
    </row>
    <row r="326" spans="1:1" x14ac:dyDescent="0.25">
      <c r="A326" s="4">
        <v>45057</v>
      </c>
    </row>
    <row r="327" spans="1:1" x14ac:dyDescent="0.25">
      <c r="A327" s="4">
        <v>45058</v>
      </c>
    </row>
    <row r="328" spans="1:1" x14ac:dyDescent="0.25">
      <c r="A328" s="4">
        <v>45061</v>
      </c>
    </row>
    <row r="329" spans="1:1" x14ac:dyDescent="0.25">
      <c r="A329" s="4">
        <v>45062</v>
      </c>
    </row>
    <row r="330" spans="1:1" x14ac:dyDescent="0.25">
      <c r="A330" s="4">
        <v>45063</v>
      </c>
    </row>
    <row r="331" spans="1:1" x14ac:dyDescent="0.25">
      <c r="A331" s="4">
        <v>45064</v>
      </c>
    </row>
    <row r="332" spans="1:1" x14ac:dyDescent="0.25">
      <c r="A332" s="4">
        <v>45065</v>
      </c>
    </row>
    <row r="333" spans="1:1" x14ac:dyDescent="0.25">
      <c r="A333" s="4">
        <v>45068</v>
      </c>
    </row>
    <row r="334" spans="1:1" x14ac:dyDescent="0.25">
      <c r="A334" s="4">
        <v>45069</v>
      </c>
    </row>
    <row r="335" spans="1:1" x14ac:dyDescent="0.25">
      <c r="A335" s="4">
        <v>45070</v>
      </c>
    </row>
    <row r="336" spans="1:1" x14ac:dyDescent="0.25">
      <c r="A336" s="4">
        <v>45071</v>
      </c>
    </row>
    <row r="337" spans="1:1" x14ac:dyDescent="0.25">
      <c r="A337" s="4">
        <v>45072</v>
      </c>
    </row>
    <row r="338" spans="1:1" x14ac:dyDescent="0.25">
      <c r="A338" s="4">
        <v>45075</v>
      </c>
    </row>
    <row r="339" spans="1:1" x14ac:dyDescent="0.25">
      <c r="A339" s="4">
        <v>45076</v>
      </c>
    </row>
    <row r="340" spans="1:1" x14ac:dyDescent="0.25">
      <c r="A340" s="4">
        <v>45077</v>
      </c>
    </row>
    <row r="341" spans="1:1" x14ac:dyDescent="0.25">
      <c r="A341" s="4">
        <v>45078</v>
      </c>
    </row>
    <row r="342" spans="1:1" x14ac:dyDescent="0.25">
      <c r="A342" s="4">
        <v>45079</v>
      </c>
    </row>
    <row r="343" spans="1:1" x14ac:dyDescent="0.25">
      <c r="A343" s="4">
        <v>45082</v>
      </c>
    </row>
    <row r="344" spans="1:1" x14ac:dyDescent="0.25">
      <c r="A344" s="4">
        <v>45083</v>
      </c>
    </row>
    <row r="345" spans="1:1" x14ac:dyDescent="0.25">
      <c r="A345" s="4">
        <v>45084</v>
      </c>
    </row>
    <row r="346" spans="1:1" x14ac:dyDescent="0.25">
      <c r="A346" s="4">
        <v>45085</v>
      </c>
    </row>
    <row r="347" spans="1:1" x14ac:dyDescent="0.25">
      <c r="A347" s="4">
        <v>45086</v>
      </c>
    </row>
    <row r="348" spans="1:1" x14ac:dyDescent="0.25">
      <c r="A348" s="4">
        <v>45089</v>
      </c>
    </row>
    <row r="349" spans="1:1" x14ac:dyDescent="0.25">
      <c r="A349" s="4">
        <v>45090</v>
      </c>
    </row>
    <row r="350" spans="1:1" x14ac:dyDescent="0.25">
      <c r="A350" s="4">
        <v>45091</v>
      </c>
    </row>
    <row r="351" spans="1:1" x14ac:dyDescent="0.25">
      <c r="A351" s="4">
        <v>45092</v>
      </c>
    </row>
    <row r="352" spans="1:1" x14ac:dyDescent="0.25">
      <c r="A352" s="4">
        <v>45093</v>
      </c>
    </row>
    <row r="353" spans="1:1" x14ac:dyDescent="0.25">
      <c r="A353" s="4">
        <v>45096</v>
      </c>
    </row>
    <row r="354" spans="1:1" x14ac:dyDescent="0.25">
      <c r="A354" s="4">
        <v>45097</v>
      </c>
    </row>
    <row r="355" spans="1:1" x14ac:dyDescent="0.25">
      <c r="A355" s="4">
        <v>45098</v>
      </c>
    </row>
    <row r="356" spans="1:1" x14ac:dyDescent="0.25">
      <c r="A356" s="4">
        <v>45103</v>
      </c>
    </row>
    <row r="357" spans="1:1" x14ac:dyDescent="0.25">
      <c r="A357" s="4">
        <v>45104</v>
      </c>
    </row>
    <row r="358" spans="1:1" x14ac:dyDescent="0.25">
      <c r="A358" s="4">
        <v>45105</v>
      </c>
    </row>
    <row r="359" spans="1:1" x14ac:dyDescent="0.25">
      <c r="A359" s="4">
        <v>45106</v>
      </c>
    </row>
    <row r="360" spans="1:1" x14ac:dyDescent="0.25">
      <c r="A360" s="4">
        <v>45107</v>
      </c>
    </row>
    <row r="361" spans="1:1" x14ac:dyDescent="0.25">
      <c r="A361" s="4">
        <v>45110</v>
      </c>
    </row>
    <row r="362" spans="1:1" x14ac:dyDescent="0.25">
      <c r="A362" s="4">
        <v>45111</v>
      </c>
    </row>
    <row r="363" spans="1:1" x14ac:dyDescent="0.25">
      <c r="A363" s="4">
        <v>45112</v>
      </c>
    </row>
    <row r="364" spans="1:1" x14ac:dyDescent="0.25">
      <c r="A364" s="4">
        <v>45113</v>
      </c>
    </row>
    <row r="365" spans="1:1" x14ac:dyDescent="0.25">
      <c r="A365" s="4">
        <v>45114</v>
      </c>
    </row>
    <row r="366" spans="1:1" x14ac:dyDescent="0.25">
      <c r="A366" s="4">
        <v>45117</v>
      </c>
    </row>
    <row r="367" spans="1:1" x14ac:dyDescent="0.25">
      <c r="A367" s="4">
        <v>45118</v>
      </c>
    </row>
    <row r="368" spans="1:1" x14ac:dyDescent="0.25">
      <c r="A368" s="4">
        <v>45119</v>
      </c>
    </row>
    <row r="369" spans="1:1" x14ac:dyDescent="0.25">
      <c r="A369" s="4">
        <v>45120</v>
      </c>
    </row>
    <row r="370" spans="1:1" x14ac:dyDescent="0.25">
      <c r="A370" s="4">
        <v>45121</v>
      </c>
    </row>
    <row r="371" spans="1:1" x14ac:dyDescent="0.25">
      <c r="A371" s="4">
        <v>45124</v>
      </c>
    </row>
    <row r="372" spans="1:1" x14ac:dyDescent="0.25">
      <c r="A372" s="4">
        <v>45125</v>
      </c>
    </row>
    <row r="373" spans="1:1" x14ac:dyDescent="0.25">
      <c r="A373" s="4">
        <v>45126</v>
      </c>
    </row>
    <row r="374" spans="1:1" x14ac:dyDescent="0.25">
      <c r="A374" s="4">
        <v>45127</v>
      </c>
    </row>
    <row r="375" spans="1:1" x14ac:dyDescent="0.25">
      <c r="A375" s="4">
        <v>45128</v>
      </c>
    </row>
    <row r="376" spans="1:1" x14ac:dyDescent="0.25">
      <c r="A376" s="4">
        <v>45131</v>
      </c>
    </row>
    <row r="377" spans="1:1" x14ac:dyDescent="0.25">
      <c r="A377" s="4">
        <v>45132</v>
      </c>
    </row>
    <row r="378" spans="1:1" x14ac:dyDescent="0.25">
      <c r="A378" s="4">
        <v>45133</v>
      </c>
    </row>
    <row r="379" spans="1:1" x14ac:dyDescent="0.25">
      <c r="A379" s="4">
        <v>45134</v>
      </c>
    </row>
    <row r="380" spans="1:1" x14ac:dyDescent="0.25">
      <c r="A380" s="4">
        <v>45135</v>
      </c>
    </row>
    <row r="381" spans="1:1" x14ac:dyDescent="0.25">
      <c r="A381" s="4">
        <v>45138</v>
      </c>
    </row>
    <row r="382" spans="1:1" x14ac:dyDescent="0.25">
      <c r="A382" s="4">
        <v>45139</v>
      </c>
    </row>
    <row r="383" spans="1:1" x14ac:dyDescent="0.25">
      <c r="A383" s="4">
        <v>45140</v>
      </c>
    </row>
    <row r="384" spans="1:1" x14ac:dyDescent="0.25">
      <c r="A384" s="4">
        <v>45141</v>
      </c>
    </row>
    <row r="385" spans="1:1" x14ac:dyDescent="0.25">
      <c r="A385" s="4">
        <v>45142</v>
      </c>
    </row>
    <row r="386" spans="1:1" x14ac:dyDescent="0.25">
      <c r="A386" s="4">
        <v>45145</v>
      </c>
    </row>
    <row r="387" spans="1:1" x14ac:dyDescent="0.25">
      <c r="A387" s="4">
        <v>45146</v>
      </c>
    </row>
    <row r="388" spans="1:1" x14ac:dyDescent="0.25">
      <c r="A388" s="4">
        <v>45147</v>
      </c>
    </row>
    <row r="389" spans="1:1" x14ac:dyDescent="0.25">
      <c r="A389" s="4">
        <v>45148</v>
      </c>
    </row>
    <row r="390" spans="1:1" x14ac:dyDescent="0.25">
      <c r="A390" s="4">
        <v>45149</v>
      </c>
    </row>
    <row r="391" spans="1:1" x14ac:dyDescent="0.25">
      <c r="A391" s="4">
        <v>45152</v>
      </c>
    </row>
    <row r="392" spans="1:1" x14ac:dyDescent="0.25">
      <c r="A392" s="4">
        <v>45153</v>
      </c>
    </row>
    <row r="393" spans="1:1" x14ac:dyDescent="0.25">
      <c r="A393" s="4">
        <v>45154</v>
      </c>
    </row>
    <row r="394" spans="1:1" x14ac:dyDescent="0.25">
      <c r="A394" s="4">
        <v>45155</v>
      </c>
    </row>
    <row r="395" spans="1:1" x14ac:dyDescent="0.25">
      <c r="A395" s="4">
        <v>45156</v>
      </c>
    </row>
    <row r="396" spans="1:1" x14ac:dyDescent="0.25">
      <c r="A396" s="4">
        <v>45159</v>
      </c>
    </row>
    <row r="397" spans="1:1" x14ac:dyDescent="0.25">
      <c r="A397" s="4">
        <v>45160</v>
      </c>
    </row>
    <row r="398" spans="1:1" x14ac:dyDescent="0.25">
      <c r="A398" s="4">
        <v>45161</v>
      </c>
    </row>
    <row r="399" spans="1:1" x14ac:dyDescent="0.25">
      <c r="A399" s="4">
        <v>45162</v>
      </c>
    </row>
    <row r="400" spans="1:1" x14ac:dyDescent="0.25">
      <c r="A400" s="4">
        <v>45163</v>
      </c>
    </row>
    <row r="401" spans="1:1" x14ac:dyDescent="0.25">
      <c r="A401" s="4">
        <v>45166</v>
      </c>
    </row>
    <row r="402" spans="1:1" x14ac:dyDescent="0.25">
      <c r="A402" s="4">
        <v>45167</v>
      </c>
    </row>
    <row r="403" spans="1:1" x14ac:dyDescent="0.25">
      <c r="A403" s="4">
        <v>45168</v>
      </c>
    </row>
    <row r="404" spans="1:1" x14ac:dyDescent="0.25">
      <c r="A404" s="4">
        <v>45169</v>
      </c>
    </row>
    <row r="405" spans="1:1" x14ac:dyDescent="0.25">
      <c r="A405" s="4">
        <v>45170</v>
      </c>
    </row>
    <row r="406" spans="1:1" x14ac:dyDescent="0.25">
      <c r="A406" s="4">
        <v>45173</v>
      </c>
    </row>
    <row r="407" spans="1:1" x14ac:dyDescent="0.25">
      <c r="A407" s="4">
        <v>45174</v>
      </c>
    </row>
    <row r="408" spans="1:1" x14ac:dyDescent="0.25">
      <c r="A408" s="4">
        <v>45175</v>
      </c>
    </row>
    <row r="409" spans="1:1" x14ac:dyDescent="0.25">
      <c r="A409" s="4">
        <v>45176</v>
      </c>
    </row>
    <row r="410" spans="1:1" x14ac:dyDescent="0.25">
      <c r="A410" s="4">
        <v>45177</v>
      </c>
    </row>
    <row r="411" spans="1:1" x14ac:dyDescent="0.25">
      <c r="A411" s="4">
        <v>45180</v>
      </c>
    </row>
    <row r="412" spans="1:1" x14ac:dyDescent="0.25">
      <c r="A412" s="4">
        <v>45181</v>
      </c>
    </row>
    <row r="413" spans="1:1" x14ac:dyDescent="0.25">
      <c r="A413" s="4">
        <v>45182</v>
      </c>
    </row>
    <row r="414" spans="1:1" x14ac:dyDescent="0.25">
      <c r="A414" s="4">
        <v>45183</v>
      </c>
    </row>
    <row r="415" spans="1:1" x14ac:dyDescent="0.25">
      <c r="A415" s="4">
        <v>45184</v>
      </c>
    </row>
    <row r="416" spans="1:1" x14ac:dyDescent="0.25">
      <c r="A416" s="4">
        <v>45187</v>
      </c>
    </row>
    <row r="417" spans="1:1" x14ac:dyDescent="0.25">
      <c r="A417" s="4">
        <v>45188</v>
      </c>
    </row>
    <row r="418" spans="1:1" x14ac:dyDescent="0.25">
      <c r="A418" s="4">
        <v>45189</v>
      </c>
    </row>
    <row r="419" spans="1:1" x14ac:dyDescent="0.25">
      <c r="A419" s="4">
        <v>45190</v>
      </c>
    </row>
    <row r="420" spans="1:1" x14ac:dyDescent="0.25">
      <c r="A420" s="4">
        <v>45191</v>
      </c>
    </row>
    <row r="421" spans="1:1" x14ac:dyDescent="0.25">
      <c r="A421" s="4">
        <v>45194</v>
      </c>
    </row>
    <row r="422" spans="1:1" x14ac:dyDescent="0.25">
      <c r="A422" s="4">
        <v>45195</v>
      </c>
    </row>
    <row r="423" spans="1:1" x14ac:dyDescent="0.25">
      <c r="A423" s="4">
        <v>45196</v>
      </c>
    </row>
    <row r="424" spans="1:1" x14ac:dyDescent="0.25">
      <c r="A424" s="4">
        <v>45197</v>
      </c>
    </row>
    <row r="425" spans="1:1" x14ac:dyDescent="0.25">
      <c r="A425" s="4">
        <v>45208</v>
      </c>
    </row>
    <row r="426" spans="1:1" x14ac:dyDescent="0.25">
      <c r="A426" s="4">
        <v>45209</v>
      </c>
    </row>
    <row r="427" spans="1:1" x14ac:dyDescent="0.25">
      <c r="A427" s="4">
        <v>45210</v>
      </c>
    </row>
    <row r="428" spans="1:1" x14ac:dyDescent="0.25">
      <c r="A428" s="4">
        <v>45211</v>
      </c>
    </row>
    <row r="429" spans="1:1" x14ac:dyDescent="0.25">
      <c r="A429" s="4">
        <v>45212</v>
      </c>
    </row>
    <row r="430" spans="1:1" x14ac:dyDescent="0.25">
      <c r="A430" s="4">
        <v>45215</v>
      </c>
    </row>
    <row r="431" spans="1:1" x14ac:dyDescent="0.25">
      <c r="A431" s="4">
        <v>45216</v>
      </c>
    </row>
    <row r="432" spans="1:1" x14ac:dyDescent="0.25">
      <c r="A432" s="4">
        <v>45217</v>
      </c>
    </row>
    <row r="433" spans="1:1" x14ac:dyDescent="0.25">
      <c r="A433" s="4">
        <v>45218</v>
      </c>
    </row>
    <row r="434" spans="1:1" x14ac:dyDescent="0.25">
      <c r="A434" s="4">
        <v>45219</v>
      </c>
    </row>
    <row r="435" spans="1:1" x14ac:dyDescent="0.25">
      <c r="A435" s="4">
        <v>45222</v>
      </c>
    </row>
    <row r="436" spans="1:1" x14ac:dyDescent="0.25">
      <c r="A436" s="4">
        <v>45223</v>
      </c>
    </row>
    <row r="437" spans="1:1" x14ac:dyDescent="0.25">
      <c r="A437" s="4">
        <v>45224</v>
      </c>
    </row>
    <row r="438" spans="1:1" x14ac:dyDescent="0.25">
      <c r="A438" s="4">
        <v>45225</v>
      </c>
    </row>
    <row r="439" spans="1:1" x14ac:dyDescent="0.25">
      <c r="A439" s="4">
        <v>45226</v>
      </c>
    </row>
    <row r="440" spans="1:1" x14ac:dyDescent="0.25">
      <c r="A440" s="4">
        <v>45229</v>
      </c>
    </row>
    <row r="441" spans="1:1" x14ac:dyDescent="0.25">
      <c r="A441" s="4">
        <v>45230</v>
      </c>
    </row>
    <row r="442" spans="1:1" x14ac:dyDescent="0.25">
      <c r="A442" s="4">
        <v>45231</v>
      </c>
    </row>
    <row r="443" spans="1:1" x14ac:dyDescent="0.25">
      <c r="A443" s="4">
        <v>45232</v>
      </c>
    </row>
    <row r="444" spans="1:1" x14ac:dyDescent="0.25">
      <c r="A444" s="4">
        <v>45233</v>
      </c>
    </row>
    <row r="445" spans="1:1" x14ac:dyDescent="0.25">
      <c r="A445" s="4">
        <v>45236</v>
      </c>
    </row>
    <row r="446" spans="1:1" x14ac:dyDescent="0.25">
      <c r="A446" s="4">
        <v>45237</v>
      </c>
    </row>
    <row r="447" spans="1:1" x14ac:dyDescent="0.25">
      <c r="A447" s="4">
        <v>45238</v>
      </c>
    </row>
    <row r="448" spans="1:1" x14ac:dyDescent="0.25">
      <c r="A448" s="4">
        <v>45239</v>
      </c>
    </row>
    <row r="449" spans="1:1" x14ac:dyDescent="0.25">
      <c r="A449" s="4">
        <v>45240</v>
      </c>
    </row>
    <row r="450" spans="1:1" x14ac:dyDescent="0.25">
      <c r="A450" s="4">
        <v>45243</v>
      </c>
    </row>
    <row r="451" spans="1:1" x14ac:dyDescent="0.25">
      <c r="A451" s="4">
        <v>45244</v>
      </c>
    </row>
    <row r="452" spans="1:1" x14ac:dyDescent="0.25">
      <c r="A452" s="4">
        <v>45245</v>
      </c>
    </row>
    <row r="453" spans="1:1" x14ac:dyDescent="0.25">
      <c r="A453" s="4">
        <v>45246</v>
      </c>
    </row>
    <row r="454" spans="1:1" x14ac:dyDescent="0.25">
      <c r="A454" s="4">
        <v>45247</v>
      </c>
    </row>
    <row r="455" spans="1:1" x14ac:dyDescent="0.25">
      <c r="A455" s="4">
        <v>45250</v>
      </c>
    </row>
    <row r="456" spans="1:1" x14ac:dyDescent="0.25">
      <c r="A456" s="4">
        <v>45251</v>
      </c>
    </row>
    <row r="457" spans="1:1" x14ac:dyDescent="0.25">
      <c r="A457" s="4">
        <v>45252</v>
      </c>
    </row>
    <row r="458" spans="1:1" x14ac:dyDescent="0.25">
      <c r="A458" s="4">
        <v>45253</v>
      </c>
    </row>
    <row r="459" spans="1:1" x14ac:dyDescent="0.25">
      <c r="A459" s="4">
        <v>45254</v>
      </c>
    </row>
    <row r="460" spans="1:1" x14ac:dyDescent="0.25">
      <c r="A460" s="4">
        <v>45257</v>
      </c>
    </row>
    <row r="461" spans="1:1" x14ac:dyDescent="0.25">
      <c r="A461" s="4">
        <v>45258</v>
      </c>
    </row>
    <row r="462" spans="1:1" x14ac:dyDescent="0.25">
      <c r="A462" s="4">
        <v>45259</v>
      </c>
    </row>
    <row r="463" spans="1:1" x14ac:dyDescent="0.25">
      <c r="A463" s="4">
        <v>45260</v>
      </c>
    </row>
    <row r="464" spans="1:1" x14ac:dyDescent="0.25">
      <c r="A464" s="4">
        <v>45261</v>
      </c>
    </row>
    <row r="465" spans="1:1" x14ac:dyDescent="0.25">
      <c r="A465" s="4">
        <v>45264</v>
      </c>
    </row>
    <row r="466" spans="1:1" x14ac:dyDescent="0.25">
      <c r="A466" s="4">
        <v>45265</v>
      </c>
    </row>
    <row r="467" spans="1:1" x14ac:dyDescent="0.25">
      <c r="A467" s="4">
        <v>45266</v>
      </c>
    </row>
    <row r="468" spans="1:1" x14ac:dyDescent="0.25">
      <c r="A468" s="4">
        <v>45267</v>
      </c>
    </row>
    <row r="469" spans="1:1" x14ac:dyDescent="0.25">
      <c r="A469" s="4">
        <v>45268</v>
      </c>
    </row>
    <row r="470" spans="1:1" x14ac:dyDescent="0.25">
      <c r="A470" s="4">
        <v>45271</v>
      </c>
    </row>
    <row r="471" spans="1:1" x14ac:dyDescent="0.25">
      <c r="A471" s="4">
        <v>45272</v>
      </c>
    </row>
    <row r="472" spans="1:1" x14ac:dyDescent="0.25">
      <c r="A472" s="4">
        <v>45273</v>
      </c>
    </row>
    <row r="473" spans="1:1" x14ac:dyDescent="0.25">
      <c r="A473" s="4">
        <v>45274</v>
      </c>
    </row>
    <row r="474" spans="1:1" x14ac:dyDescent="0.25">
      <c r="A474" s="4">
        <v>45275</v>
      </c>
    </row>
    <row r="475" spans="1:1" x14ac:dyDescent="0.25">
      <c r="A475" s="4">
        <v>45278</v>
      </c>
    </row>
    <row r="476" spans="1:1" x14ac:dyDescent="0.25">
      <c r="A476" s="4">
        <v>45279</v>
      </c>
    </row>
    <row r="477" spans="1:1" x14ac:dyDescent="0.25">
      <c r="A477" s="4">
        <v>45280</v>
      </c>
    </row>
    <row r="478" spans="1:1" x14ac:dyDescent="0.25">
      <c r="A478" s="4">
        <v>45281</v>
      </c>
    </row>
    <row r="479" spans="1:1" x14ac:dyDescent="0.25">
      <c r="A479" s="4">
        <v>45282</v>
      </c>
    </row>
    <row r="480" spans="1:1" x14ac:dyDescent="0.25">
      <c r="A480" s="4">
        <v>45285</v>
      </c>
    </row>
    <row r="481" spans="1:1" x14ac:dyDescent="0.25">
      <c r="A481" s="4">
        <v>45286</v>
      </c>
    </row>
    <row r="482" spans="1:1" x14ac:dyDescent="0.25">
      <c r="A482" s="4">
        <v>45287</v>
      </c>
    </row>
    <row r="483" spans="1:1" x14ac:dyDescent="0.25">
      <c r="A483" s="4">
        <v>45288</v>
      </c>
    </row>
    <row r="484" spans="1:1" x14ac:dyDescent="0.25">
      <c r="A484" s="4">
        <v>45289</v>
      </c>
    </row>
    <row r="485" spans="1:1" x14ac:dyDescent="0.25">
      <c r="A485" s="4">
        <v>45293</v>
      </c>
    </row>
    <row r="486" spans="1:1" x14ac:dyDescent="0.25">
      <c r="A486" s="4">
        <v>45294</v>
      </c>
    </row>
    <row r="487" spans="1:1" x14ac:dyDescent="0.25">
      <c r="A487" s="4">
        <v>45295</v>
      </c>
    </row>
    <row r="488" spans="1:1" x14ac:dyDescent="0.25">
      <c r="A488" s="4">
        <v>45296</v>
      </c>
    </row>
    <row r="489" spans="1:1" x14ac:dyDescent="0.25">
      <c r="A489" s="4">
        <v>45299</v>
      </c>
    </row>
    <row r="490" spans="1:1" x14ac:dyDescent="0.25">
      <c r="A490" s="4">
        <v>45300</v>
      </c>
    </row>
    <row r="491" spans="1:1" x14ac:dyDescent="0.25">
      <c r="A491" s="4">
        <v>45301</v>
      </c>
    </row>
    <row r="492" spans="1:1" x14ac:dyDescent="0.25">
      <c r="A492" s="4">
        <v>45302</v>
      </c>
    </row>
    <row r="493" spans="1:1" x14ac:dyDescent="0.25">
      <c r="A493" s="4">
        <v>45303</v>
      </c>
    </row>
    <row r="494" spans="1:1" x14ac:dyDescent="0.25">
      <c r="A494" s="4">
        <v>45306</v>
      </c>
    </row>
    <row r="495" spans="1:1" x14ac:dyDescent="0.25">
      <c r="A495" s="4">
        <v>45307</v>
      </c>
    </row>
    <row r="496" spans="1:1" x14ac:dyDescent="0.25">
      <c r="A496" s="4">
        <v>45308</v>
      </c>
    </row>
    <row r="497" spans="1:1" x14ac:dyDescent="0.25">
      <c r="A497" s="4">
        <v>45309</v>
      </c>
    </row>
    <row r="498" spans="1:1" x14ac:dyDescent="0.25">
      <c r="A498" s="4">
        <v>45310</v>
      </c>
    </row>
    <row r="499" spans="1:1" x14ac:dyDescent="0.25">
      <c r="A499" s="4">
        <v>45313</v>
      </c>
    </row>
    <row r="500" spans="1:1" x14ac:dyDescent="0.25">
      <c r="A500" s="4">
        <v>45314</v>
      </c>
    </row>
    <row r="501" spans="1:1" x14ac:dyDescent="0.25">
      <c r="A501" s="4">
        <v>45315</v>
      </c>
    </row>
    <row r="502" spans="1:1" x14ac:dyDescent="0.25">
      <c r="A502" s="4">
        <v>45316</v>
      </c>
    </row>
    <row r="503" spans="1:1" x14ac:dyDescent="0.25">
      <c r="A503" s="4">
        <v>45317</v>
      </c>
    </row>
    <row r="504" spans="1:1" x14ac:dyDescent="0.25">
      <c r="A504" s="4">
        <v>45320</v>
      </c>
    </row>
    <row r="505" spans="1:1" x14ac:dyDescent="0.25">
      <c r="A505" s="4">
        <v>45321</v>
      </c>
    </row>
    <row r="506" spans="1:1" x14ac:dyDescent="0.25">
      <c r="A506" s="4">
        <v>45322</v>
      </c>
    </row>
    <row r="507" spans="1:1" x14ac:dyDescent="0.25">
      <c r="A507" s="4">
        <v>45323</v>
      </c>
    </row>
    <row r="508" spans="1:1" x14ac:dyDescent="0.25">
      <c r="A508" s="4">
        <v>45324</v>
      </c>
    </row>
    <row r="509" spans="1:1" x14ac:dyDescent="0.25">
      <c r="A509" s="4">
        <v>45327</v>
      </c>
    </row>
    <row r="510" spans="1:1" x14ac:dyDescent="0.25">
      <c r="A510" s="4">
        <v>45328</v>
      </c>
    </row>
    <row r="511" spans="1:1" x14ac:dyDescent="0.25">
      <c r="A511" s="4">
        <v>45329</v>
      </c>
    </row>
    <row r="512" spans="1:1" x14ac:dyDescent="0.25">
      <c r="A512" s="4">
        <v>45330</v>
      </c>
    </row>
    <row r="513" spans="1:1" x14ac:dyDescent="0.25">
      <c r="A513" s="4">
        <v>45338</v>
      </c>
    </row>
    <row r="514" spans="1:1" x14ac:dyDescent="0.25">
      <c r="A514" s="4">
        <v>45341</v>
      </c>
    </row>
    <row r="515" spans="1:1" x14ac:dyDescent="0.25">
      <c r="A515" s="4">
        <v>45342</v>
      </c>
    </row>
    <row r="516" spans="1:1" x14ac:dyDescent="0.25">
      <c r="A516" s="4">
        <v>45343</v>
      </c>
    </row>
    <row r="517" spans="1:1" x14ac:dyDescent="0.25">
      <c r="A517" s="4">
        <v>45344</v>
      </c>
    </row>
    <row r="518" spans="1:1" x14ac:dyDescent="0.25">
      <c r="A518" s="4">
        <v>45345</v>
      </c>
    </row>
    <row r="519" spans="1:1" x14ac:dyDescent="0.25">
      <c r="A519" s="4">
        <v>45348</v>
      </c>
    </row>
    <row r="520" spans="1:1" x14ac:dyDescent="0.25">
      <c r="A520" s="4">
        <v>45349</v>
      </c>
    </row>
    <row r="521" spans="1:1" x14ac:dyDescent="0.25">
      <c r="A521" s="4">
        <v>45350</v>
      </c>
    </row>
    <row r="522" spans="1:1" x14ac:dyDescent="0.25">
      <c r="A522" s="4">
        <v>45351</v>
      </c>
    </row>
    <row r="523" spans="1:1" x14ac:dyDescent="0.25">
      <c r="A523" s="4">
        <v>45352</v>
      </c>
    </row>
    <row r="524" spans="1:1" x14ac:dyDescent="0.25">
      <c r="A524" s="4">
        <v>45357</v>
      </c>
    </row>
    <row r="525" spans="1:1" x14ac:dyDescent="0.25">
      <c r="A525" s="4">
        <v>45358</v>
      </c>
    </row>
    <row r="526" spans="1:1" x14ac:dyDescent="0.25">
      <c r="A526" s="4">
        <v>45359</v>
      </c>
    </row>
    <row r="527" spans="1:1" x14ac:dyDescent="0.25">
      <c r="A527" s="4">
        <v>45362</v>
      </c>
    </row>
    <row r="528" spans="1:1" x14ac:dyDescent="0.25">
      <c r="A528" s="4">
        <v>45363</v>
      </c>
    </row>
    <row r="529" spans="1:1" x14ac:dyDescent="0.25">
      <c r="A529" s="4">
        <v>45364</v>
      </c>
    </row>
    <row r="530" spans="1:1" x14ac:dyDescent="0.25">
      <c r="A530" s="4">
        <v>45365</v>
      </c>
    </row>
    <row r="531" spans="1:1" x14ac:dyDescent="0.25">
      <c r="A531" s="4">
        <v>45366</v>
      </c>
    </row>
    <row r="532" spans="1:1" x14ac:dyDescent="0.25">
      <c r="A532" s="4">
        <v>45369</v>
      </c>
    </row>
    <row r="533" spans="1:1" x14ac:dyDescent="0.25">
      <c r="A533" s="4">
        <v>45370</v>
      </c>
    </row>
    <row r="534" spans="1:1" x14ac:dyDescent="0.25">
      <c r="A534" s="4">
        <v>45371</v>
      </c>
    </row>
    <row r="535" spans="1:1" x14ac:dyDescent="0.25">
      <c r="A535" s="4">
        <v>45372</v>
      </c>
    </row>
    <row r="536" spans="1:1" x14ac:dyDescent="0.25">
      <c r="A536" s="4">
        <v>45373</v>
      </c>
    </row>
    <row r="537" spans="1:1" x14ac:dyDescent="0.25">
      <c r="A537" s="4">
        <v>45376</v>
      </c>
    </row>
    <row r="538" spans="1:1" x14ac:dyDescent="0.25">
      <c r="A538" s="4">
        <v>45377</v>
      </c>
    </row>
    <row r="539" spans="1:1" x14ac:dyDescent="0.25">
      <c r="A539" s="4">
        <v>45378</v>
      </c>
    </row>
    <row r="540" spans="1:1" x14ac:dyDescent="0.25">
      <c r="A540" s="4">
        <v>45379</v>
      </c>
    </row>
    <row r="541" spans="1:1" x14ac:dyDescent="0.25">
      <c r="A541" s="4">
        <v>45380</v>
      </c>
    </row>
    <row r="542" spans="1:1" x14ac:dyDescent="0.25">
      <c r="A542" s="4">
        <v>45383</v>
      </c>
    </row>
    <row r="543" spans="1:1" x14ac:dyDescent="0.25">
      <c r="A543" s="4">
        <v>45384</v>
      </c>
    </row>
    <row r="544" spans="1:1" x14ac:dyDescent="0.25">
      <c r="A544" s="4">
        <v>45385</v>
      </c>
    </row>
    <row r="545" spans="1:1" x14ac:dyDescent="0.25">
      <c r="A545" s="4">
        <v>45386</v>
      </c>
    </row>
    <row r="546" spans="1:1" x14ac:dyDescent="0.25">
      <c r="A546" s="4">
        <v>45387</v>
      </c>
    </row>
    <row r="547" spans="1:1" x14ac:dyDescent="0.25">
      <c r="A547" s="4">
        <v>45390</v>
      </c>
    </row>
    <row r="548" spans="1:1" x14ac:dyDescent="0.25">
      <c r="A548" s="4">
        <v>45391</v>
      </c>
    </row>
    <row r="549" spans="1:1" x14ac:dyDescent="0.25">
      <c r="A549" s="4">
        <v>45392</v>
      </c>
    </row>
    <row r="550" spans="1:1" x14ac:dyDescent="0.25">
      <c r="A550" s="4">
        <v>45393</v>
      </c>
    </row>
    <row r="551" spans="1:1" x14ac:dyDescent="0.25">
      <c r="A551" s="4">
        <v>45394</v>
      </c>
    </row>
    <row r="552" spans="1:1" x14ac:dyDescent="0.25">
      <c r="A552" s="4">
        <v>45397</v>
      </c>
    </row>
    <row r="553" spans="1:1" x14ac:dyDescent="0.25">
      <c r="A553" s="4">
        <v>45398</v>
      </c>
    </row>
    <row r="554" spans="1:1" x14ac:dyDescent="0.25">
      <c r="A554" s="4">
        <v>45399</v>
      </c>
    </row>
    <row r="555" spans="1:1" x14ac:dyDescent="0.25">
      <c r="A555" s="4">
        <v>45400</v>
      </c>
    </row>
    <row r="556" spans="1:1" x14ac:dyDescent="0.25">
      <c r="A556" s="4">
        <v>45401</v>
      </c>
    </row>
    <row r="557" spans="1:1" x14ac:dyDescent="0.25">
      <c r="A557" s="4">
        <v>45404</v>
      </c>
    </row>
    <row r="558" spans="1:1" x14ac:dyDescent="0.25">
      <c r="A558" s="4">
        <v>45405</v>
      </c>
    </row>
    <row r="559" spans="1:1" x14ac:dyDescent="0.25">
      <c r="A559" s="4">
        <v>45406</v>
      </c>
    </row>
    <row r="560" spans="1:1" x14ac:dyDescent="0.25">
      <c r="A560" s="4">
        <v>45407</v>
      </c>
    </row>
    <row r="561" spans="1:1" x14ac:dyDescent="0.25">
      <c r="A561" s="4">
        <v>45408</v>
      </c>
    </row>
    <row r="562" spans="1:1" x14ac:dyDescent="0.25">
      <c r="A562" s="4">
        <v>45411</v>
      </c>
    </row>
    <row r="563" spans="1:1" x14ac:dyDescent="0.25">
      <c r="A563" s="4">
        <v>45412</v>
      </c>
    </row>
    <row r="564" spans="1:1" x14ac:dyDescent="0.25">
      <c r="A564" s="4">
        <v>45414</v>
      </c>
    </row>
    <row r="565" spans="1:1" x14ac:dyDescent="0.25">
      <c r="A565" s="4">
        <v>45415</v>
      </c>
    </row>
    <row r="566" spans="1:1" x14ac:dyDescent="0.25">
      <c r="A566" s="4">
        <v>45418</v>
      </c>
    </row>
    <row r="567" spans="1:1" x14ac:dyDescent="0.25">
      <c r="A567" s="4">
        <v>45419</v>
      </c>
    </row>
    <row r="568" spans="1:1" x14ac:dyDescent="0.25">
      <c r="A568" s="4">
        <v>45420</v>
      </c>
    </row>
    <row r="569" spans="1:1" x14ac:dyDescent="0.25">
      <c r="A569" s="4">
        <v>45421</v>
      </c>
    </row>
    <row r="570" spans="1:1" x14ac:dyDescent="0.25">
      <c r="A570" s="4">
        <v>45422</v>
      </c>
    </row>
    <row r="571" spans="1:1" x14ac:dyDescent="0.25">
      <c r="A571" s="4">
        <v>45425</v>
      </c>
    </row>
    <row r="572" spans="1:1" x14ac:dyDescent="0.25">
      <c r="A572" s="4">
        <v>45426</v>
      </c>
    </row>
    <row r="573" spans="1:1" x14ac:dyDescent="0.25">
      <c r="A573" s="4">
        <v>45427</v>
      </c>
    </row>
    <row r="574" spans="1:1" x14ac:dyDescent="0.25">
      <c r="A574" s="4">
        <v>45428</v>
      </c>
    </row>
    <row r="575" spans="1:1" x14ac:dyDescent="0.25">
      <c r="A575" s="4">
        <v>45429</v>
      </c>
    </row>
    <row r="576" spans="1:1" x14ac:dyDescent="0.25">
      <c r="A576" s="4">
        <v>45432</v>
      </c>
    </row>
    <row r="577" spans="1:1" x14ac:dyDescent="0.25">
      <c r="A577" s="4">
        <v>45433</v>
      </c>
    </row>
    <row r="578" spans="1:1" x14ac:dyDescent="0.25">
      <c r="A578" s="4">
        <v>45434</v>
      </c>
    </row>
    <row r="579" spans="1:1" x14ac:dyDescent="0.25">
      <c r="A579" s="4">
        <v>45435</v>
      </c>
    </row>
    <row r="580" spans="1:1" x14ac:dyDescent="0.25">
      <c r="A580" s="4">
        <v>45436</v>
      </c>
    </row>
    <row r="581" spans="1:1" x14ac:dyDescent="0.25">
      <c r="A581" s="4">
        <v>45439</v>
      </c>
    </row>
    <row r="582" spans="1:1" x14ac:dyDescent="0.25">
      <c r="A582" s="4">
        <v>45440</v>
      </c>
    </row>
    <row r="583" spans="1:1" x14ac:dyDescent="0.25">
      <c r="A583" s="4">
        <v>45441</v>
      </c>
    </row>
    <row r="584" spans="1:1" x14ac:dyDescent="0.25">
      <c r="A584" s="4">
        <v>45442</v>
      </c>
    </row>
    <row r="585" spans="1:1" x14ac:dyDescent="0.25">
      <c r="A585" s="4">
        <v>45443</v>
      </c>
    </row>
    <row r="586" spans="1:1" x14ac:dyDescent="0.25">
      <c r="A586" s="4">
        <v>45446</v>
      </c>
    </row>
    <row r="587" spans="1:1" x14ac:dyDescent="0.25">
      <c r="A587" s="4">
        <v>45447</v>
      </c>
    </row>
    <row r="588" spans="1:1" x14ac:dyDescent="0.25">
      <c r="A588" s="4">
        <v>45448</v>
      </c>
    </row>
    <row r="589" spans="1:1" x14ac:dyDescent="0.25">
      <c r="A589" s="4">
        <v>45449</v>
      </c>
    </row>
    <row r="590" spans="1:1" x14ac:dyDescent="0.25">
      <c r="A590" s="4">
        <v>45450</v>
      </c>
    </row>
    <row r="591" spans="1:1" x14ac:dyDescent="0.25">
      <c r="A591" s="4">
        <v>45454</v>
      </c>
    </row>
    <row r="592" spans="1:1" x14ac:dyDescent="0.25">
      <c r="A592" s="4">
        <v>45455</v>
      </c>
    </row>
    <row r="593" spans="1:1" x14ac:dyDescent="0.25">
      <c r="A593" s="4">
        <v>45456</v>
      </c>
    </row>
    <row r="594" spans="1:1" x14ac:dyDescent="0.25">
      <c r="A594" s="4">
        <v>45457</v>
      </c>
    </row>
    <row r="595" spans="1:1" x14ac:dyDescent="0.25">
      <c r="A595" s="4">
        <v>45460</v>
      </c>
    </row>
    <row r="596" spans="1:1" x14ac:dyDescent="0.25">
      <c r="A596" s="4">
        <v>45461</v>
      </c>
    </row>
    <row r="597" spans="1:1" x14ac:dyDescent="0.25">
      <c r="A597" s="4">
        <v>45462</v>
      </c>
    </row>
    <row r="598" spans="1:1" x14ac:dyDescent="0.25">
      <c r="A598" s="4">
        <v>45463</v>
      </c>
    </row>
    <row r="599" spans="1:1" x14ac:dyDescent="0.25">
      <c r="A599" s="4">
        <v>45464</v>
      </c>
    </row>
    <row r="600" spans="1:1" x14ac:dyDescent="0.25">
      <c r="A600" s="4">
        <v>45467</v>
      </c>
    </row>
    <row r="601" spans="1:1" x14ac:dyDescent="0.25">
      <c r="A601" s="4">
        <v>45468</v>
      </c>
    </row>
    <row r="602" spans="1:1" x14ac:dyDescent="0.25">
      <c r="A602" s="4">
        <v>45469</v>
      </c>
    </row>
    <row r="603" spans="1:1" x14ac:dyDescent="0.25">
      <c r="A603" s="4">
        <v>45470</v>
      </c>
    </row>
    <row r="604" spans="1:1" x14ac:dyDescent="0.25">
      <c r="A604" s="4">
        <v>45471</v>
      </c>
    </row>
    <row r="605" spans="1:1" x14ac:dyDescent="0.25">
      <c r="A605" s="4">
        <v>45474</v>
      </c>
    </row>
    <row r="606" spans="1:1" x14ac:dyDescent="0.25">
      <c r="A606" s="4">
        <v>45475</v>
      </c>
    </row>
    <row r="607" spans="1:1" x14ac:dyDescent="0.25">
      <c r="A607" s="4">
        <v>45476</v>
      </c>
    </row>
    <row r="608" spans="1:1" x14ac:dyDescent="0.25">
      <c r="A608" s="4">
        <v>45477</v>
      </c>
    </row>
    <row r="609" spans="1:1" x14ac:dyDescent="0.25">
      <c r="A609" s="4">
        <v>45478</v>
      </c>
    </row>
    <row r="610" spans="1:1" x14ac:dyDescent="0.25">
      <c r="A610" s="4">
        <v>45481</v>
      </c>
    </row>
    <row r="611" spans="1:1" x14ac:dyDescent="0.25">
      <c r="A611" s="4">
        <v>45482</v>
      </c>
    </row>
    <row r="612" spans="1:1" x14ac:dyDescent="0.25">
      <c r="A612" s="4">
        <v>45483</v>
      </c>
    </row>
    <row r="613" spans="1:1" x14ac:dyDescent="0.25">
      <c r="A613" s="4">
        <v>45484</v>
      </c>
    </row>
    <row r="614" spans="1:1" x14ac:dyDescent="0.25">
      <c r="A614" s="4">
        <v>45485</v>
      </c>
    </row>
    <row r="615" spans="1:1" x14ac:dyDescent="0.25">
      <c r="A615" s="4">
        <v>45488</v>
      </c>
    </row>
    <row r="616" spans="1:1" x14ac:dyDescent="0.25">
      <c r="A616" s="4">
        <v>45489</v>
      </c>
    </row>
    <row r="617" spans="1:1" x14ac:dyDescent="0.25">
      <c r="A617" s="4">
        <v>45490</v>
      </c>
    </row>
    <row r="618" spans="1:1" x14ac:dyDescent="0.25">
      <c r="A618" s="4">
        <v>45491</v>
      </c>
    </row>
    <row r="619" spans="1:1" x14ac:dyDescent="0.25">
      <c r="A619" s="4">
        <v>45492</v>
      </c>
    </row>
    <row r="620" spans="1:1" x14ac:dyDescent="0.25">
      <c r="A620" s="4">
        <v>45495</v>
      </c>
    </row>
    <row r="621" spans="1:1" x14ac:dyDescent="0.25">
      <c r="A621" s="4">
        <v>45496</v>
      </c>
    </row>
    <row r="622" spans="1:1" x14ac:dyDescent="0.25">
      <c r="A622" s="4">
        <v>45497</v>
      </c>
    </row>
    <row r="623" spans="1:1" x14ac:dyDescent="0.25">
      <c r="A623" s="4">
        <v>45498</v>
      </c>
    </row>
    <row r="624" spans="1:1" x14ac:dyDescent="0.25">
      <c r="A624" s="4">
        <v>45499</v>
      </c>
    </row>
    <row r="625" spans="1:1" x14ac:dyDescent="0.25">
      <c r="A625" s="4">
        <v>45502</v>
      </c>
    </row>
    <row r="626" spans="1:1" x14ac:dyDescent="0.25">
      <c r="A626" s="4">
        <v>45503</v>
      </c>
    </row>
    <row r="627" spans="1:1" x14ac:dyDescent="0.25">
      <c r="A627" s="4">
        <v>45504</v>
      </c>
    </row>
    <row r="628" spans="1:1" x14ac:dyDescent="0.25">
      <c r="A628" s="4">
        <v>45505</v>
      </c>
    </row>
    <row r="629" spans="1:1" x14ac:dyDescent="0.25">
      <c r="A629" s="4">
        <v>45506</v>
      </c>
    </row>
    <row r="630" spans="1:1" x14ac:dyDescent="0.25">
      <c r="A630" s="4">
        <v>45509</v>
      </c>
    </row>
    <row r="631" spans="1:1" x14ac:dyDescent="0.25">
      <c r="A631" s="4">
        <v>45510</v>
      </c>
    </row>
    <row r="632" spans="1:1" x14ac:dyDescent="0.25">
      <c r="A632" s="4">
        <v>45511</v>
      </c>
    </row>
    <row r="633" spans="1:1" x14ac:dyDescent="0.25">
      <c r="A633" s="4">
        <v>45512</v>
      </c>
    </row>
    <row r="634" spans="1:1" x14ac:dyDescent="0.25">
      <c r="A634" s="4">
        <v>45513</v>
      </c>
    </row>
    <row r="635" spans="1:1" x14ac:dyDescent="0.25">
      <c r="A635" s="4">
        <v>45516</v>
      </c>
    </row>
    <row r="636" spans="1:1" x14ac:dyDescent="0.25">
      <c r="A636" s="4">
        <v>45517</v>
      </c>
    </row>
    <row r="637" spans="1:1" x14ac:dyDescent="0.25">
      <c r="A637" s="4">
        <v>45518</v>
      </c>
    </row>
    <row r="638" spans="1:1" x14ac:dyDescent="0.25">
      <c r="A638" s="4">
        <v>45519</v>
      </c>
    </row>
    <row r="639" spans="1:1" x14ac:dyDescent="0.25">
      <c r="A639" s="4">
        <v>45520</v>
      </c>
    </row>
    <row r="640" spans="1:1" x14ac:dyDescent="0.25">
      <c r="A640" s="4">
        <v>45523</v>
      </c>
    </row>
    <row r="641" spans="1:1" x14ac:dyDescent="0.25">
      <c r="A641" s="4">
        <v>45524</v>
      </c>
    </row>
    <row r="642" spans="1:1" x14ac:dyDescent="0.25">
      <c r="A642" s="4">
        <v>45525</v>
      </c>
    </row>
    <row r="643" spans="1:1" x14ac:dyDescent="0.25">
      <c r="A643" s="4">
        <v>45526</v>
      </c>
    </row>
    <row r="644" spans="1:1" x14ac:dyDescent="0.25">
      <c r="A644" s="4">
        <v>45527</v>
      </c>
    </row>
    <row r="645" spans="1:1" x14ac:dyDescent="0.25">
      <c r="A645" s="4">
        <v>45530</v>
      </c>
    </row>
    <row r="646" spans="1:1" x14ac:dyDescent="0.25">
      <c r="A646" s="4">
        <v>45531</v>
      </c>
    </row>
    <row r="647" spans="1:1" x14ac:dyDescent="0.25">
      <c r="A647" s="4">
        <v>45532</v>
      </c>
    </row>
    <row r="648" spans="1:1" x14ac:dyDescent="0.25">
      <c r="A648" s="4">
        <v>45533</v>
      </c>
    </row>
    <row r="649" spans="1:1" x14ac:dyDescent="0.25">
      <c r="A649" s="4">
        <v>45534</v>
      </c>
    </row>
    <row r="650" spans="1:1" x14ac:dyDescent="0.25">
      <c r="A650" s="4">
        <v>45537</v>
      </c>
    </row>
    <row r="651" spans="1:1" x14ac:dyDescent="0.25">
      <c r="A651" s="4">
        <v>45538</v>
      </c>
    </row>
    <row r="652" spans="1:1" x14ac:dyDescent="0.25">
      <c r="A652" s="4">
        <v>45539</v>
      </c>
    </row>
    <row r="653" spans="1:1" x14ac:dyDescent="0.25">
      <c r="A653" s="4">
        <v>45540</v>
      </c>
    </row>
    <row r="654" spans="1:1" x14ac:dyDescent="0.25">
      <c r="A654" s="4">
        <v>45541</v>
      </c>
    </row>
    <row r="655" spans="1:1" x14ac:dyDescent="0.25">
      <c r="A655" s="4">
        <v>45544</v>
      </c>
    </row>
    <row r="656" spans="1:1" x14ac:dyDescent="0.25">
      <c r="A656" s="4">
        <v>45545</v>
      </c>
    </row>
    <row r="657" spans="1:1" x14ac:dyDescent="0.25">
      <c r="A657" s="4">
        <v>45546</v>
      </c>
    </row>
    <row r="658" spans="1:1" x14ac:dyDescent="0.25">
      <c r="A658" s="4">
        <v>45547</v>
      </c>
    </row>
    <row r="659" spans="1:1" x14ac:dyDescent="0.25">
      <c r="A659" s="4">
        <v>45548</v>
      </c>
    </row>
    <row r="660" spans="1:1" x14ac:dyDescent="0.25">
      <c r="A660" s="4">
        <v>45551</v>
      </c>
    </row>
    <row r="661" spans="1:1" x14ac:dyDescent="0.25">
      <c r="A661" s="4">
        <v>45552</v>
      </c>
    </row>
    <row r="662" spans="1:1" x14ac:dyDescent="0.25">
      <c r="A662" s="4">
        <v>45553</v>
      </c>
    </row>
    <row r="663" spans="1:1" x14ac:dyDescent="0.25">
      <c r="A663" s="4">
        <v>45554</v>
      </c>
    </row>
    <row r="664" spans="1:1" x14ac:dyDescent="0.25">
      <c r="A664" s="4">
        <v>45555</v>
      </c>
    </row>
    <row r="665" spans="1:1" x14ac:dyDescent="0.25">
      <c r="A665" s="4">
        <v>45558</v>
      </c>
    </row>
    <row r="666" spans="1:1" x14ac:dyDescent="0.25">
      <c r="A666" s="4">
        <v>45559</v>
      </c>
    </row>
    <row r="667" spans="1:1" x14ac:dyDescent="0.25">
      <c r="A667" s="4">
        <v>45560</v>
      </c>
    </row>
    <row r="668" spans="1:1" x14ac:dyDescent="0.25">
      <c r="A668" s="4">
        <v>45561</v>
      </c>
    </row>
    <row r="669" spans="1:1" x14ac:dyDescent="0.25">
      <c r="A669" s="4">
        <v>45562</v>
      </c>
    </row>
    <row r="670" spans="1:1" x14ac:dyDescent="0.25">
      <c r="A670" s="4">
        <v>45565</v>
      </c>
    </row>
    <row r="671" spans="1:1" x14ac:dyDescent="0.25">
      <c r="A671" s="4">
        <v>45569</v>
      </c>
    </row>
    <row r="672" spans="1:1" x14ac:dyDescent="0.25">
      <c r="A672" s="4">
        <v>45572</v>
      </c>
    </row>
    <row r="673" spans="1:1" x14ac:dyDescent="0.25">
      <c r="A673" s="4">
        <v>45573</v>
      </c>
    </row>
    <row r="674" spans="1:1" x14ac:dyDescent="0.25">
      <c r="A674" s="4">
        <v>45574</v>
      </c>
    </row>
    <row r="675" spans="1:1" x14ac:dyDescent="0.25">
      <c r="A675" s="4">
        <v>45575</v>
      </c>
    </row>
    <row r="676" spans="1:1" x14ac:dyDescent="0.25">
      <c r="A676" s="4">
        <v>45576</v>
      </c>
    </row>
    <row r="677" spans="1:1" x14ac:dyDescent="0.25">
      <c r="A677" s="4">
        <v>45579</v>
      </c>
    </row>
    <row r="678" spans="1:1" x14ac:dyDescent="0.25">
      <c r="A678" s="4">
        <v>45580</v>
      </c>
    </row>
    <row r="679" spans="1:1" x14ac:dyDescent="0.25">
      <c r="A679" s="4">
        <v>45581</v>
      </c>
    </row>
    <row r="680" spans="1:1" x14ac:dyDescent="0.25">
      <c r="A680" s="4">
        <v>45582</v>
      </c>
    </row>
    <row r="681" spans="1:1" x14ac:dyDescent="0.25">
      <c r="A681" s="4">
        <v>45583</v>
      </c>
    </row>
    <row r="682" spans="1:1" x14ac:dyDescent="0.25">
      <c r="A682" s="4">
        <v>45586</v>
      </c>
    </row>
    <row r="683" spans="1:1" x14ac:dyDescent="0.25">
      <c r="A683" s="4">
        <v>45587</v>
      </c>
    </row>
    <row r="684" spans="1:1" x14ac:dyDescent="0.25">
      <c r="A684" s="4">
        <v>45588</v>
      </c>
    </row>
    <row r="685" spans="1:1" x14ac:dyDescent="0.25">
      <c r="A685" s="4">
        <v>45589</v>
      </c>
    </row>
    <row r="686" spans="1:1" x14ac:dyDescent="0.25">
      <c r="A686" s="4">
        <v>45590</v>
      </c>
    </row>
    <row r="687" spans="1:1" x14ac:dyDescent="0.25">
      <c r="A687" s="4">
        <v>45593</v>
      </c>
    </row>
    <row r="688" spans="1:1" x14ac:dyDescent="0.25">
      <c r="A688" s="4">
        <v>45594</v>
      </c>
    </row>
    <row r="689" spans="1:1" x14ac:dyDescent="0.25">
      <c r="A689" s="4">
        <v>45595</v>
      </c>
    </row>
    <row r="690" spans="1:1" x14ac:dyDescent="0.25">
      <c r="A690" s="4">
        <v>45596</v>
      </c>
    </row>
    <row r="691" spans="1:1" x14ac:dyDescent="0.25">
      <c r="A691" s="4">
        <v>45597</v>
      </c>
    </row>
    <row r="692" spans="1:1" x14ac:dyDescent="0.25">
      <c r="A692" s="4">
        <v>45600</v>
      </c>
    </row>
    <row r="693" spans="1:1" x14ac:dyDescent="0.25">
      <c r="A693" s="4">
        <v>45601</v>
      </c>
    </row>
    <row r="694" spans="1:1" x14ac:dyDescent="0.25">
      <c r="A694" s="4">
        <v>45602</v>
      </c>
    </row>
    <row r="695" spans="1:1" x14ac:dyDescent="0.25">
      <c r="A695" s="4">
        <v>45603</v>
      </c>
    </row>
    <row r="696" spans="1:1" x14ac:dyDescent="0.25">
      <c r="A696" s="4">
        <v>45604</v>
      </c>
    </row>
    <row r="697" spans="1:1" x14ac:dyDescent="0.25">
      <c r="A697" s="4">
        <v>45607</v>
      </c>
    </row>
    <row r="698" spans="1:1" x14ac:dyDescent="0.25">
      <c r="A698" s="4">
        <v>45608</v>
      </c>
    </row>
    <row r="699" spans="1:1" x14ac:dyDescent="0.25">
      <c r="A699" s="4">
        <v>45609</v>
      </c>
    </row>
    <row r="700" spans="1:1" x14ac:dyDescent="0.25">
      <c r="A700" s="4">
        <v>45610</v>
      </c>
    </row>
    <row r="701" spans="1:1" x14ac:dyDescent="0.25">
      <c r="A701" s="4">
        <v>45611</v>
      </c>
    </row>
    <row r="702" spans="1:1" x14ac:dyDescent="0.25">
      <c r="A702" s="4">
        <v>45614</v>
      </c>
    </row>
    <row r="703" spans="1:1" x14ac:dyDescent="0.25">
      <c r="A703" s="4">
        <v>45615</v>
      </c>
    </row>
    <row r="704" spans="1:1" x14ac:dyDescent="0.25">
      <c r="A704" s="4">
        <v>45616</v>
      </c>
    </row>
    <row r="705" spans="1:1" x14ac:dyDescent="0.25">
      <c r="A705" s="4">
        <v>45617</v>
      </c>
    </row>
    <row r="706" spans="1:1" x14ac:dyDescent="0.25">
      <c r="A706" s="4">
        <v>45618</v>
      </c>
    </row>
    <row r="707" spans="1:1" x14ac:dyDescent="0.25">
      <c r="A707" s="4">
        <v>45621</v>
      </c>
    </row>
    <row r="708" spans="1:1" x14ac:dyDescent="0.25">
      <c r="A708" s="4">
        <v>45622</v>
      </c>
    </row>
    <row r="709" spans="1:1" x14ac:dyDescent="0.25">
      <c r="A709" s="4">
        <v>45623</v>
      </c>
    </row>
    <row r="710" spans="1:1" x14ac:dyDescent="0.25">
      <c r="A710" s="4">
        <v>45624</v>
      </c>
    </row>
    <row r="711" spans="1:1" x14ac:dyDescent="0.25">
      <c r="A711" s="4">
        <v>45625</v>
      </c>
    </row>
    <row r="712" spans="1:1" x14ac:dyDescent="0.25">
      <c r="A712" s="4">
        <v>45628</v>
      </c>
    </row>
    <row r="713" spans="1:1" x14ac:dyDescent="0.25">
      <c r="A713" s="4">
        <v>45629</v>
      </c>
    </row>
    <row r="714" spans="1:1" x14ac:dyDescent="0.25">
      <c r="A714" s="4">
        <v>45630</v>
      </c>
    </row>
    <row r="715" spans="1:1" x14ac:dyDescent="0.25">
      <c r="A715" s="4">
        <v>45631</v>
      </c>
    </row>
    <row r="716" spans="1:1" x14ac:dyDescent="0.25">
      <c r="A716" s="4">
        <v>45632</v>
      </c>
    </row>
    <row r="717" spans="1:1" x14ac:dyDescent="0.25">
      <c r="A717" s="4">
        <v>45635</v>
      </c>
    </row>
    <row r="718" spans="1:1" x14ac:dyDescent="0.25">
      <c r="A718" s="4">
        <v>45636</v>
      </c>
    </row>
    <row r="719" spans="1:1" x14ac:dyDescent="0.25">
      <c r="A719" s="4">
        <v>45637</v>
      </c>
    </row>
    <row r="720" spans="1:1" x14ac:dyDescent="0.25">
      <c r="A720" s="4">
        <v>45638</v>
      </c>
    </row>
    <row r="721" spans="1:1" x14ac:dyDescent="0.25">
      <c r="A721" s="4">
        <v>45639</v>
      </c>
    </row>
    <row r="722" spans="1:1" x14ac:dyDescent="0.25">
      <c r="A722" s="4">
        <v>45642</v>
      </c>
    </row>
    <row r="723" spans="1:1" x14ac:dyDescent="0.25">
      <c r="A723" s="4">
        <v>45643</v>
      </c>
    </row>
    <row r="724" spans="1:1" x14ac:dyDescent="0.25">
      <c r="A724" s="4">
        <v>45644</v>
      </c>
    </row>
    <row r="725" spans="1:1" x14ac:dyDescent="0.25">
      <c r="A725" s="4">
        <v>45645</v>
      </c>
    </row>
    <row r="726" spans="1:1" x14ac:dyDescent="0.25">
      <c r="A726" s="4">
        <v>45646</v>
      </c>
    </row>
    <row r="727" spans="1:1" x14ac:dyDescent="0.25">
      <c r="A727" s="4">
        <v>45649</v>
      </c>
    </row>
    <row r="728" spans="1:1" x14ac:dyDescent="0.25">
      <c r="A728" s="4">
        <v>45650</v>
      </c>
    </row>
    <row r="729" spans="1:1" x14ac:dyDescent="0.25">
      <c r="A729" s="4">
        <v>45651</v>
      </c>
    </row>
    <row r="730" spans="1:1" x14ac:dyDescent="0.25">
      <c r="A730" s="4">
        <v>45652</v>
      </c>
    </row>
    <row r="731" spans="1:1" x14ac:dyDescent="0.25">
      <c r="A731" s="4">
        <v>45653</v>
      </c>
    </row>
    <row r="732" spans="1:1" x14ac:dyDescent="0.25">
      <c r="A732" s="4">
        <v>45656</v>
      </c>
    </row>
    <row r="733" spans="1:1" x14ac:dyDescent="0.25">
      <c r="A733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9" sqref="E9"/>
    </sheetView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1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tabSelected="1" zoomScaleNormal="100" workbookViewId="0">
      <selection activeCell="J6" sqref="J6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11" x14ac:dyDescent="0.25">
      <c r="A1" s="7" t="s">
        <v>29</v>
      </c>
    </row>
    <row r="2" spans="1:11" x14ac:dyDescent="0.25">
      <c r="B2" s="20" t="s">
        <v>15</v>
      </c>
      <c r="C2" s="20"/>
      <c r="D2" s="3"/>
      <c r="E2" s="22" t="s">
        <v>16</v>
      </c>
      <c r="F2" s="22"/>
      <c r="G2" s="12" t="s">
        <v>28</v>
      </c>
    </row>
    <row r="3" spans="1:11" x14ac:dyDescent="0.25">
      <c r="B3" s="14" t="s">
        <v>17</v>
      </c>
      <c r="C3" s="4">
        <v>44993</v>
      </c>
      <c r="E3" s="14" t="s">
        <v>22</v>
      </c>
      <c r="F3" s="4">
        <v>44993</v>
      </c>
      <c r="G3" s="13">
        <v>20241.426944781608</v>
      </c>
    </row>
    <row r="4" spans="1:11" x14ac:dyDescent="0.25">
      <c r="B4" s="14" t="s">
        <v>18</v>
      </c>
      <c r="C4">
        <v>1813</v>
      </c>
      <c r="E4" s="14" t="s">
        <v>23</v>
      </c>
      <c r="F4" s="4">
        <v>45359</v>
      </c>
    </row>
    <row r="5" spans="1:11" x14ac:dyDescent="0.25">
      <c r="B5" s="14" t="s">
        <v>19</v>
      </c>
      <c r="C5">
        <v>0.15</v>
      </c>
      <c r="E5" s="14" t="s">
        <v>24</v>
      </c>
      <c r="F5" s="24">
        <v>2.6499999999999999E-2</v>
      </c>
    </row>
    <row r="6" spans="1:11" x14ac:dyDescent="0.25">
      <c r="B6" s="14" t="s">
        <v>20</v>
      </c>
      <c r="C6" s="18">
        <v>5.5E-2</v>
      </c>
      <c r="E6" s="14" t="s">
        <v>26</v>
      </c>
      <c r="F6" s="24">
        <v>4.4999999999999998E-2</v>
      </c>
    </row>
    <row r="7" spans="1:11" x14ac:dyDescent="0.25">
      <c r="B7" s="14" t="s">
        <v>21</v>
      </c>
      <c r="C7" s="18">
        <v>0</v>
      </c>
      <c r="E7" s="14" t="s">
        <v>25</v>
      </c>
      <c r="F7">
        <f>C4*F11</f>
        <v>1813</v>
      </c>
    </row>
    <row r="8" spans="1:11" x14ac:dyDescent="0.25">
      <c r="E8" s="14" t="s">
        <v>27</v>
      </c>
      <c r="F8" s="6">
        <v>100000000</v>
      </c>
    </row>
    <row r="9" spans="1:11" x14ac:dyDescent="0.25">
      <c r="E9" s="14" t="s">
        <v>40</v>
      </c>
      <c r="F9">
        <v>0</v>
      </c>
    </row>
    <row r="10" spans="1:11" x14ac:dyDescent="0.25">
      <c r="E10" s="8"/>
    </row>
    <row r="11" spans="1:11" x14ac:dyDescent="0.25">
      <c r="A11" s="1"/>
      <c r="B11" s="15"/>
      <c r="D11" s="9"/>
      <c r="E11" s="11"/>
      <c r="F11" s="19">
        <v>1</v>
      </c>
      <c r="K11" s="13">
        <v>110233.54653803147</v>
      </c>
    </row>
    <row r="12" spans="1:11" x14ac:dyDescent="0.25">
      <c r="A12" s="1"/>
      <c r="B12" s="4"/>
      <c r="C12" s="4"/>
      <c r="E12" s="4"/>
    </row>
    <row r="13" spans="1:11" x14ac:dyDescent="0.25">
      <c r="A13" s="1"/>
      <c r="B13" s="4"/>
      <c r="C13" s="4"/>
      <c r="E13" s="4"/>
      <c r="H13">
        <f>1813</f>
        <v>1813</v>
      </c>
    </row>
    <row r="14" spans="1:11" x14ac:dyDescent="0.25">
      <c r="A14" s="1"/>
      <c r="B14" s="4"/>
      <c r="C14" s="4"/>
      <c r="E14" s="4"/>
      <c r="H14">
        <v>103</v>
      </c>
    </row>
    <row r="15" spans="1:11" x14ac:dyDescent="0.25">
      <c r="A15" s="1"/>
      <c r="B15" s="4"/>
      <c r="C15" s="4"/>
      <c r="E15" s="4"/>
      <c r="H15">
        <f>SUM(H13:H14)</f>
        <v>1916</v>
      </c>
      <c r="I15">
        <f>LN(H15/H13)</f>
        <v>5.5256747775954844E-2</v>
      </c>
    </row>
    <row r="16" spans="1:11" x14ac:dyDescent="0.25">
      <c r="A16" s="1"/>
      <c r="B16" s="4"/>
      <c r="C16" s="4"/>
      <c r="E16" s="4"/>
    </row>
    <row r="17" spans="1:11" x14ac:dyDescent="0.25">
      <c r="A17" s="1"/>
      <c r="B17" s="4"/>
      <c r="C17" s="4"/>
      <c r="E17" s="4"/>
      <c r="K17" s="13">
        <v>75478.42572907501</v>
      </c>
    </row>
    <row r="18" spans="1:11" x14ac:dyDescent="0.25">
      <c r="A18" s="1"/>
      <c r="B18" s="4"/>
      <c r="C18" s="4"/>
      <c r="E18" s="4"/>
      <c r="K18" s="13">
        <v>88110.123972035712</v>
      </c>
    </row>
    <row r="19" spans="1:11" x14ac:dyDescent="0.25">
      <c r="A19" s="1"/>
      <c r="B19" s="4"/>
      <c r="C19" s="4"/>
      <c r="E19" s="4"/>
    </row>
    <row r="20" spans="1:11" x14ac:dyDescent="0.25">
      <c r="A20" s="1"/>
      <c r="B20" s="4"/>
      <c r="C20" s="4"/>
      <c r="E20" s="4"/>
    </row>
    <row r="21" spans="1:11" x14ac:dyDescent="0.25">
      <c r="A21" s="1"/>
      <c r="B21" s="4"/>
      <c r="C21" s="4"/>
      <c r="E21" s="4"/>
    </row>
    <row r="22" spans="1:11" x14ac:dyDescent="0.25">
      <c r="A22" s="1"/>
      <c r="B22" s="4"/>
      <c r="C22" s="4"/>
      <c r="E22" s="4"/>
    </row>
    <row r="23" spans="1:11" x14ac:dyDescent="0.25">
      <c r="A23" s="1"/>
      <c r="B23" s="4"/>
      <c r="C23" s="4"/>
      <c r="E23" s="4"/>
      <c r="H23" t="s">
        <v>42</v>
      </c>
      <c r="I23" t="s">
        <v>43</v>
      </c>
      <c r="J23" t="s">
        <v>44</v>
      </c>
    </row>
    <row r="24" spans="1:11" x14ac:dyDescent="0.25">
      <c r="H24">
        <v>1</v>
      </c>
      <c r="I24">
        <v>53186</v>
      </c>
      <c r="J24">
        <f>H24*I24</f>
        <v>53186</v>
      </c>
    </row>
    <row r="25" spans="1:11" x14ac:dyDescent="0.25">
      <c r="H25">
        <v>2</v>
      </c>
      <c r="I25">
        <v>12054</v>
      </c>
      <c r="J25">
        <f t="shared" ref="J25:J35" si="0">H25*I25</f>
        <v>24108</v>
      </c>
    </row>
    <row r="26" spans="1:11" x14ac:dyDescent="0.25">
      <c r="H26">
        <v>3</v>
      </c>
      <c r="I26">
        <v>7205</v>
      </c>
      <c r="J26">
        <f t="shared" si="0"/>
        <v>21615</v>
      </c>
    </row>
    <row r="27" spans="1:11" x14ac:dyDescent="0.25">
      <c r="H27">
        <v>4</v>
      </c>
      <c r="I27">
        <v>4077</v>
      </c>
      <c r="J27">
        <f t="shared" si="0"/>
        <v>16308</v>
      </c>
    </row>
    <row r="28" spans="1:11" x14ac:dyDescent="0.25">
      <c r="H28">
        <v>5</v>
      </c>
      <c r="I28">
        <v>2851</v>
      </c>
      <c r="J28">
        <f t="shared" si="0"/>
        <v>14255</v>
      </c>
    </row>
    <row r="29" spans="1:11" x14ac:dyDescent="0.25">
      <c r="H29">
        <v>6</v>
      </c>
      <c r="I29">
        <v>2404</v>
      </c>
      <c r="J29">
        <f t="shared" si="0"/>
        <v>14424</v>
      </c>
    </row>
    <row r="30" spans="1:11" x14ac:dyDescent="0.25">
      <c r="H30">
        <v>7</v>
      </c>
      <c r="I30">
        <v>1367</v>
      </c>
      <c r="J30">
        <f t="shared" si="0"/>
        <v>9569</v>
      </c>
    </row>
    <row r="31" spans="1:11" x14ac:dyDescent="0.25">
      <c r="H31">
        <v>8</v>
      </c>
      <c r="I31">
        <v>1417</v>
      </c>
      <c r="J31">
        <f t="shared" si="0"/>
        <v>11336</v>
      </c>
    </row>
    <row r="32" spans="1:11" x14ac:dyDescent="0.25">
      <c r="H32">
        <v>9</v>
      </c>
      <c r="I32">
        <v>1230</v>
      </c>
      <c r="J32">
        <f t="shared" si="0"/>
        <v>11070</v>
      </c>
    </row>
    <row r="33" spans="8:10" x14ac:dyDescent="0.25">
      <c r="H33">
        <v>10</v>
      </c>
      <c r="I33">
        <v>951</v>
      </c>
      <c r="J33">
        <f t="shared" si="0"/>
        <v>9510</v>
      </c>
    </row>
    <row r="34" spans="8:10" x14ac:dyDescent="0.25">
      <c r="H34">
        <v>11</v>
      </c>
      <c r="I34">
        <v>931</v>
      </c>
      <c r="J34">
        <f t="shared" si="0"/>
        <v>10241</v>
      </c>
    </row>
    <row r="35" spans="8:10" x14ac:dyDescent="0.25">
      <c r="H35">
        <v>12</v>
      </c>
      <c r="I35">
        <v>557</v>
      </c>
      <c r="J35">
        <f t="shared" si="0"/>
        <v>6684</v>
      </c>
    </row>
    <row r="36" spans="8:10" x14ac:dyDescent="0.25">
      <c r="H36" t="s">
        <v>46</v>
      </c>
      <c r="I36">
        <f>100000-SUM(I24:I35)</f>
        <v>11770</v>
      </c>
      <c r="J36">
        <f>I36*12</f>
        <v>141240</v>
      </c>
    </row>
    <row r="37" spans="8:10" x14ac:dyDescent="0.25">
      <c r="H37" t="s">
        <v>41</v>
      </c>
      <c r="I37">
        <f>SUM(I24:I36)</f>
        <v>100000</v>
      </c>
      <c r="J37">
        <f>SUM(J24:J36)</f>
        <v>343546</v>
      </c>
    </row>
    <row r="38" spans="8:10" x14ac:dyDescent="0.25">
      <c r="H38" s="23" t="s">
        <v>45</v>
      </c>
      <c r="I38" s="23"/>
      <c r="J38">
        <f>J37/I37</f>
        <v>3.43546</v>
      </c>
    </row>
  </sheetData>
  <mergeCells count="3">
    <mergeCell ref="B2:C2"/>
    <mergeCell ref="E2:F2"/>
    <mergeCell ref="H38:I38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2m_single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中证500</vt:lpstr>
      <vt:lpstr>中证1000</vt:lpstr>
      <vt:lpstr>trading_days</vt:lpstr>
      <vt:lpstr>_xlwings.conf</vt:lpstr>
      <vt:lpstr>Single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2023-03-09T09:46:45Z</dcterms:modified>
</cp:coreProperties>
</file>